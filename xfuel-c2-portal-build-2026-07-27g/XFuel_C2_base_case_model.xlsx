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CAPEX" state="visible" r:id="rId5"/>
    <sheet sheetId="3" name="UnitEcon" state="visible" r:id="rId6"/>
    <sheet sheetId="4" name="OPEX" state="visible" r:id="rId7"/>
    <sheet sheetId="5" name="Financing" state="visible" r:id="rId8"/>
    <sheet sheetId="6" name="P&amp;L" state="visible" r:id="rId9"/>
    <sheet sheetId="7" name="Cashflow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<sst xmlns="http://schemas.openxmlformats.org/spreadsheetml/2006/main" count="571" uniqueCount="245">
  <si>
    <t>XFuel C2 — global parameters (inputs)</t>
  </si>
  <si>
    <t>Scenario name</t>
  </si>
  <si>
    <t>Base case</t>
  </si>
  <si>
    <t>Plan start month (YYYY-MM)</t>
  </si>
  <si>
    <t>2027-01</t>
  </si>
  <si>
    <t>Operations start (period index, 0-based)</t>
  </si>
  <si>
    <t>Corporate income tax rate</t>
  </si>
  <si>
    <t>DSO (days)</t>
  </si>
  <si>
    <t>DPO (days)</t>
  </si>
  <si>
    <t>WACC (project discount rate)</t>
  </si>
  <si>
    <t>Cost of equity</t>
  </si>
  <si>
    <t>Exit EV/EBITDA multiple</t>
  </si>
  <si>
    <t>Opening cash</t>
  </si>
  <si>
    <t>OPEX inflation (p.a.)</t>
  </si>
  <si>
    <t>Compensation inflation (p.a.)</t>
  </si>
  <si>
    <t>Live workbook: P&amp;L, Cashflow and Summary are Excel formulas driven by the input tabs. Edit an input and Excel recalculates.</t>
  </si>
  <si>
    <t>CAPEX — phasing, spend and depreciation</t>
  </si>
  <si>
    <t>Concept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</si>
  <si>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</si>
  <si>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</si>
  <si>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</si>
  <si>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</si>
  <si>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</si>
  <si>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</si>
  <si>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</si>
  <si>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</si>
  <si>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</si>
  <si>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</si>
  <si>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</si>
  <si>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</si>
  <si>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</si>
  <si>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</si>
  <si>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</si>
  <si>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</si>
  <si>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</si>
  <si>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</si>
  <si>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</si>
  <si>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</si>
  <si>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</si>
  <si>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</si>
  <si>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</si>
  <si>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</si>
  <si>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</si>
  <si>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</si>
  <si>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</si>
  <si>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</si>
  <si>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</si>
  <si>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</si>
  <si>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</si>
  <si>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</si>
  <si>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</si>
  <si>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</si>
  <si>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</si>
  <si>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</si>
  <si>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Y4</t>
  </si>
  <si>
    <t>Y5</t>
  </si>
  <si>
    <t>Y6</t>
  </si>
  <si>
    <t>Y7</t>
  </si>
  <si>
    <t>Y8</t>
  </si>
  <si>
    <t>Y9</t>
  </si>
  <si>
    <t>Y10</t>
  </si>
  <si>
    <t>Months in period</t>
  </si>
  <si>
    <t>Plan year</t>
  </si>
  <si>
    <t>ISBL — process plant — total cost</t>
  </si>
  <si>
    <t>ISBL — process plant — monthly depreciation rate</t>
  </si>
  <si>
    <t>ISBL — process plant — phasing %</t>
  </si>
  <si>
    <t>ISBL — process plant — spend</t>
  </si>
  <si>
    <t>ISBL — process plant — cumulative cost</t>
  </si>
  <si>
    <t>ISBL — process plant — depreciation</t>
  </si>
  <si>
    <t>ISBL — process plant — accumulated depreciation</t>
  </si>
  <si>
    <t>OSBL — infrastructure &amp; civil — total cost</t>
  </si>
  <si>
    <t>OSBL — infrastructure &amp; civil — monthly depreciation rate</t>
  </si>
  <si>
    <t>OSBL — infrastructure &amp; civil — phasing %</t>
  </si>
  <si>
    <t>OSBL — infrastructure &amp; civil — spend</t>
  </si>
  <si>
    <t>OSBL — infrastructure &amp; civil — cumulative cost</t>
  </si>
  <si>
    <t>OSBL — infrastructure &amp; civil — depreciation</t>
  </si>
  <si>
    <t>OSBL — infrastructure &amp; civil — accumulated depreciation</t>
  </si>
  <si>
    <t>Other — overheads &amp; licensing — total cost</t>
  </si>
  <si>
    <t>Other — overheads &amp; licensing — monthly depreciation rate</t>
  </si>
  <si>
    <t>Other — overheads &amp; licensing — phasing %</t>
  </si>
  <si>
    <t>Other — overheads &amp; licensing — spend</t>
  </si>
  <si>
    <t>Other — overheads &amp; licensing — cumulative cost</t>
  </si>
  <si>
    <t>Other — overheads &amp; licensing — depreciation</t>
  </si>
  <si>
    <t>Other — overheads &amp; licensing — accumulated depreciation</t>
  </si>
  <si>
    <t>Land / plot purchase — total cost</t>
  </si>
  <si>
    <t>Land / plot purchase — monthly depreciation rate</t>
  </si>
  <si>
    <t>Land / plot purchase — phasing %</t>
  </si>
  <si>
    <t>Land / plot purchase — spend</t>
  </si>
  <si>
    <t>Land / plot purchase — cumulative cost</t>
  </si>
  <si>
    <t>Land / plot purchase — depreciation</t>
  </si>
  <si>
    <t>Land / plot purchase — accumulated depreciation</t>
  </si>
  <si>
    <t>Total CAPEX spend</t>
  </si>
  <si>
    <t>Cumulative deployed CAPEX</t>
  </si>
  <si>
    <t>Total depreciation</t>
  </si>
  <si>
    <t>Unit economics — revenue and COGS drivers</t>
  </si>
  <si>
    <t>Driver — by plan year</t>
  </si>
  <si>
    <t>Y1</t>
  </si>
  <si>
    <t>Y2</t>
  </si>
  <si>
    <t>Y3</t>
  </si>
  <si>
    <t>Price per ton MGO (EUR)</t>
  </si>
  <si>
    <t>Annual operating hours at 100%</t>
  </si>
  <si>
    <t>MGO yield (kg/h)</t>
  </si>
  <si>
    <t>MTS input (kg/h)</t>
  </si>
  <si>
    <t>Reactant input (kg/h)</t>
  </si>
  <si>
    <t>Residue yield (kg/h)</t>
  </si>
  <si>
    <t>Water yield (kg/h)</t>
  </si>
  <si>
    <t>MTS cost per ton</t>
  </si>
  <si>
    <t>Reactant cost per ton</t>
  </si>
  <si>
    <t>Residue cost per ton</t>
  </si>
  <si>
    <t>Water cost per ton</t>
  </si>
  <si>
    <t>Electricity price per kWh</t>
  </si>
  <si>
    <t>Electricity consumption (kWh/h)</t>
  </si>
  <si>
    <t>Heat price per kWh</t>
  </si>
  <si>
    <t>Heat consumption (kWh/h)</t>
  </si>
  <si>
    <t>Maintenance % p.a. of deployed CAPEX</t>
  </si>
  <si>
    <t>Driver — expanded to periods</t>
  </si>
  <si>
    <t>Nameplate capacity (t/y)</t>
  </si>
  <si>
    <t>Volume</t>
  </si>
  <si>
    <t>Capacity utilisation %</t>
  </si>
  <si>
    <t>Operating hours</t>
  </si>
  <si>
    <t>Tons produced</t>
  </si>
  <si>
    <t>OPEX — personnel and other categories</t>
  </si>
  <si>
    <t>Line</t>
  </si>
  <si>
    <t>Compensation escalation factor</t>
  </si>
  <si>
    <t>OPEX escalation factor</t>
  </si>
  <si>
    <t>General manager — annual cost per FTE</t>
  </si>
  <si>
    <t>General manager — FTEs</t>
  </si>
  <si>
    <t>General manager — cost</t>
  </si>
  <si>
    <t>QA &amp; HR supervisor — annual cost per FTE</t>
  </si>
  <si>
    <t>QA &amp; HR supervisor — FTEs</t>
  </si>
  <si>
    <t>QA &amp; HR supervisor — cost</t>
  </si>
  <si>
    <t>Process engineer supervisor — annual cost per FTE</t>
  </si>
  <si>
    <t>Process engineer supervisor — FTEs</t>
  </si>
  <si>
    <t>Process engineer supervisor — cost</t>
  </si>
  <si>
    <t>Process technician — annual cost per FTE</t>
  </si>
  <si>
    <t>Process technician — FTEs</t>
  </si>
  <si>
    <t>Process technician — cost</t>
  </si>
  <si>
    <t>Operators — annual cost per FTE</t>
  </si>
  <si>
    <t>Operators — FTEs</t>
  </si>
  <si>
    <t>Operators — cost</t>
  </si>
  <si>
    <t>Maintenance general &amp; relief cover — annual cost per FTE</t>
  </si>
  <si>
    <t>Maintenance general &amp; relief cover — FTEs</t>
  </si>
  <si>
    <t>Maintenance general &amp; relief cover — cost</t>
  </si>
  <si>
    <t>Admin — annual cost per FTE</t>
  </si>
  <si>
    <t>Admin — FTEs</t>
  </si>
  <si>
    <t>Admin — cost</t>
  </si>
  <si>
    <t>Total personnel</t>
  </si>
  <si>
    <t>Insurance (% of deployed CAPEX) — amount</t>
  </si>
  <si>
    <t>Insurance (% of deployed CAPEX) — % p.a. of deployed CAPEX</t>
  </si>
  <si>
    <t>Insurance (% of deployed CAPEX) — total</t>
  </si>
  <si>
    <t>Admin overhead — amount</t>
  </si>
  <si>
    <t>Admin overhead — total</t>
  </si>
  <si>
    <t>Land cost (leasing) — amount</t>
  </si>
  <si>
    <t>Land cost (leasing) — total</t>
  </si>
  <si>
    <t>Total other OPEX</t>
  </si>
  <si>
    <t>Financing instruments</t>
  </si>
  <si>
    <t>Instrument</t>
  </si>
  <si>
    <t>Type</t>
  </si>
  <si>
    <t>Amount</t>
  </si>
  <si>
    <t>Draw period</t>
  </si>
  <si>
    <t>Rate</t>
  </si>
  <si>
    <t>Grace (m)</t>
  </si>
  <si>
    <t>Tenor (m)</t>
  </si>
  <si>
    <t>Profile</t>
  </si>
  <si>
    <t>Upfront fee</t>
  </si>
  <si>
    <t>FAIIP facility</t>
  </si>
  <si>
    <t>debt</t>
  </si>
  <si>
    <t>linear</t>
  </si>
  <si>
    <t>Grant / subsidy</t>
  </si>
  <si>
    <t>grant</t>
  </si>
  <si>
    <t/>
  </si>
  <si>
    <t>Equity — Series A</t>
  </si>
  <si>
    <t>equity</t>
  </si>
  <si>
    <t>Schedules below are computed by the portal engine and written as values: monthly amortisation cannot be expressed as one row of Excel formulas. Change an instrument in the portal and re-export.</t>
  </si>
  <si>
    <t>Schedule</t>
  </si>
  <si>
    <t>Debt drawdown</t>
  </si>
  <si>
    <t>Debt repayment</t>
  </si>
  <si>
    <t>Interest expense (incl. fees)</t>
  </si>
  <si>
    <t>Debt balance (closing)</t>
  </si>
  <si>
    <t>Equity raised</t>
  </si>
  <si>
    <t>Grants collected</t>
  </si>
  <si>
    <t>Profit &amp; loss (EUR)</t>
  </si>
  <si>
    <t>P&amp;L</t>
  </si>
  <si>
    <t>Revenue</t>
  </si>
  <si>
    <t>COGS — energy</t>
  </si>
  <si>
    <t>COGS — MTS feedstock</t>
  </si>
  <si>
    <t>COGS — reactants</t>
  </si>
  <si>
    <t>COGS — residue disposal</t>
  </si>
  <si>
    <t>COGS — water</t>
  </si>
  <si>
    <t>COGS — maintenance</t>
  </si>
  <si>
    <t>Total COGS</t>
  </si>
  <si>
    <t>Gross margin</t>
  </si>
  <si>
    <t>OPEX — personnel</t>
  </si>
  <si>
    <t>OPEX — other</t>
  </si>
  <si>
    <t>Total OPEX</t>
  </si>
  <si>
    <t>EBITDA</t>
  </si>
  <si>
    <t>Depreciation</t>
  </si>
  <si>
    <t>EBIT</t>
  </si>
  <si>
    <t>Interest expense</t>
  </si>
  <si>
    <t>Grant income</t>
  </si>
  <si>
    <t>Profit before tax</t>
  </si>
  <si>
    <t>Loss carry-forward pool (closing)</t>
  </si>
  <si>
    <t>Income tax</t>
  </si>
  <si>
    <t>Net income</t>
  </si>
  <si>
    <t>Cash flow (EUR)</t>
  </si>
  <si>
    <t>Cash flow</t>
  </si>
  <si>
    <t>Days in period</t>
  </si>
  <si>
    <t>Accounts receivable (closing)</t>
  </si>
  <si>
    <t>Accounts payable (closing)</t>
  </si>
  <si>
    <t>Change in receivables</t>
  </si>
  <si>
    <t>Change in payables</t>
  </si>
  <si>
    <t>Other working capital</t>
  </si>
  <si>
    <t>Operating cash flow (CFO)</t>
  </si>
  <si>
    <t>Investing cash flow (CFI)</t>
  </si>
  <si>
    <t xml:space="preserve">  Debt drawdown</t>
  </si>
  <si>
    <t xml:space="preserve">  Debt repayment</t>
  </si>
  <si>
    <t xml:space="preserve">  Equity raised</t>
  </si>
  <si>
    <t xml:space="preserve">  Grants collected</t>
  </si>
  <si>
    <t>Financing cash flow (CFF)</t>
  </si>
  <si>
    <t>Net cash flow</t>
  </si>
  <si>
    <t>Closing cash</t>
  </si>
  <si>
    <t>Unlevered PBT (EBIT + grants)</t>
  </si>
  <si>
    <t>Unlevered loss carry-forward pool</t>
  </si>
  <si>
    <t>Unlevered tax</t>
  </si>
  <si>
    <t>Project FCF (unlevered)</t>
  </si>
  <si>
    <t>Equity FCF (levered)</t>
  </si>
  <si>
    <t>Summary — annual P&amp;L, cash flow and returns</t>
  </si>
  <si>
    <t>Annual P&amp;L</t>
  </si>
  <si>
    <t>COGS</t>
  </si>
  <si>
    <t>Annual cash flow</t>
  </si>
  <si>
    <t>CFO</t>
  </si>
  <si>
    <t>CFI</t>
  </si>
  <si>
    <t>CFF</t>
  </si>
  <si>
    <t>Returns</t>
  </si>
  <si>
    <t>Value</t>
  </si>
  <si>
    <t>Terminal value — enterprise</t>
  </si>
  <si>
    <t>Net debt at exit</t>
  </si>
  <si>
    <t>Terminal value — equity</t>
  </si>
  <si>
    <t>Project IRR (unlevered)</t>
  </si>
  <si>
    <t>Project NPV at WACC</t>
  </si>
  <si>
    <t>Equity IRR (levered)</t>
  </si>
  <si>
    <t>Equity NPV at cost of equity</t>
  </si>
  <si>
    <t>IRR and NPV are computed by the portal engine (Excel cannot express the period-weighted discounting in one cell). All other Summary figures are live formulas.</t>
  </si>
  <si>
    <t>Warnings</t>
  </si>
  <si>
    <t>"FAIIP facility" matures beyond the plan horizon; 208,333 EUR remains outstanding at exit.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</si>
</sst>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0.0&quot;x&quot;"/>
    <numFmt numFmtId="166" formatCode="0.0000%"/>
    <numFmt numFmtId="167" formatCode="#,##0.0000"/>
    <numFmt numFmtId="168" formatCode="#,##0.0"/>
    <numFmt numFmtId="169" formatCode="0.000"/>
  </numFmts>
  <fonts count="8" x14ac:knownFonts="1">
    <font>
      <color theme="1"/>
      <family val="2"/>
      <scheme val="minor"/>
      <sz val="11"/>
      <name val="Calibri"/>
    </font>
    <font>
      <b/>
      <color rgb="FF0B7BFF"/>
      <sz val="12"/>
    </font>
    <font>
      <i/>
      <color rgb="FF666666"/>
      <sz val="9"/>
    </font>
    <font>
      <b/>
      <color rgb="FFFFFFFF"/>
      <sz val="10"/>
    </font>
    <font>
      <b/>
    </font>
    <font>
      <b/>
      <sz val="10"/>
    </font>
    <font>
      <b/>
      <color rgb="FFB00020"/>
    </font>
    <font>
      <color rgb="FFB00020"/>
      <sz val="9"/>
    </font>
  </fonts>
  <fills count="4">
    <fill>
      <patternFill patternType="none"/>
    </fill>
    <fill>
      <patternFill patternType="gray125"/>
    </fill>
    <fill>
      <patternFill patternType="solid">
        <fgColor rgb="FF0B7BFF"/>
      </patternFill>
    </fill>
    <fill>
      <patternFill patternType="solid">
        <fgColor rgb="FFE6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3" fontId="4" fillId="0" borderId="0" xfId="0" applyNumberFormat="1" applyFont="1"/>
    <xf numFmtId="166" fontId="0" fillId="0" borderId="0" xfId="0" applyNumberFormat="1"/>
    <xf numFmtId="0" fontId="5" fillId="3" borderId="0" xfId="0" applyFont="1" applyFill="1"/>
    <xf numFmtId="3" fontId="5" fillId="3" borderId="0" xfId="0" applyNumberFormat="1" applyFont="1" applyFill="1"/>
    <xf numFmtId="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44" customWidth="1"/>
    <col min="2" max="2" width="18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18</v>
      </c>
    </row>
    <row r="6" spans="1:2" x14ac:dyDescent="0.25">
      <c r="A6" t="s">
        <v>6</v>
      </c>
      <c r="B6" s="2">
        <v>0.25</v>
      </c>
    </row>
    <row r="7" spans="1:2" x14ac:dyDescent="0.25">
      <c r="A7" t="s">
        <v>7</v>
      </c>
      <c r="B7">
        <v>45</v>
      </c>
    </row>
    <row r="8" spans="1:2" x14ac:dyDescent="0.25">
      <c r="A8" t="s">
        <v>8</v>
      </c>
      <c r="B8">
        <v>60</v>
      </c>
    </row>
    <row r="9" spans="1:2" x14ac:dyDescent="0.25">
      <c r="A9" t="s">
        <v>9</v>
      </c>
      <c r="B9" s="2">
        <v>0.09</v>
      </c>
    </row>
    <row r="10" spans="1:2" x14ac:dyDescent="0.25">
      <c r="A10" t="s">
        <v>10</v>
      </c>
      <c r="B10" s="2">
        <v>0.15</v>
      </c>
    </row>
    <row r="11" spans="1:2" x14ac:dyDescent="0.25">
      <c r="A11" t="s">
        <v>11</v>
      </c>
      <c r="B11" s="3">
        <v>8</v>
      </c>
    </row>
    <row r="12" spans="1:2" x14ac:dyDescent="0.25">
      <c r="A12" t="s">
        <v>12</v>
      </c>
      <c r="B12" s="4">
        <v>0</v>
      </c>
    </row>
    <row r="13" spans="1:2" x14ac:dyDescent="0.25">
      <c r="A13" t="s">
        <v>13</v>
      </c>
      <c r="B13" s="2">
        <v>0.02</v>
      </c>
    </row>
    <row r="14" spans="1:2" x14ac:dyDescent="0.25">
      <c r="A14" t="s">
        <v>14</v>
      </c>
      <c r="B14" s="2">
        <v>0.025</v>
      </c>
    </row>
    <row r="16" spans="1:1" s="5" customFormat="1" x14ac:dyDescent="0.25">
      <c r="A16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1"/>
  <sheetFormatPr defaultRowHeight="15" outlineLevelRow="0" outlineLevelCol="0" x14ac:dyDescent="55"/>
  <cols>
    <col min="1" max="1" width="40" customWidth="1"/>
    <col min="2" max="44" width="13" customWidth="1"/>
  </cols>
  <sheetData>
    <row r="1" spans="1:1" s="1" customFormat="1" x14ac:dyDescent="0.25">
      <c r="A1" s="1" t="s">
        <v>16</v>
      </c>
    </row>
    <row r="3" spans="1:44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6" t="s">
        <v>34</v>
      </c>
      <c r="S3" s="6" t="s">
        <v>35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  <c r="AG3" s="6" t="s">
        <v>49</v>
      </c>
      <c r="AH3" s="6" t="s">
        <v>50</v>
      </c>
      <c r="AI3" s="6" t="s">
        <v>51</v>
      </c>
      <c r="AJ3" s="6" t="s">
        <v>52</v>
      </c>
      <c r="AK3" s="6" t="s">
        <v>53</v>
      </c>
      <c r="AL3" s="6" t="s">
        <v>54</v>
      </c>
      <c r="AM3" s="6" t="s">
        <v>55</v>
      </c>
      <c r="AN3" s="6" t="s">
        <v>56</v>
      </c>
      <c r="AO3" s="6" t="s">
        <v>57</v>
      </c>
      <c r="AP3" s="6" t="s">
        <v>58</v>
      </c>
      <c r="AQ3" s="6" t="s">
        <v>59</v>
      </c>
      <c r="AR3" s="6" t="s">
        <v>60</v>
      </c>
    </row>
    <row r="4" spans="1:44" x14ac:dyDescent="0.25">
      <c r="A4" t="s">
        <v>61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</row>
    <row r="5" spans="1:44" x14ac:dyDescent="0.25">
      <c r="A5" t="s">
        <v>62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4</v>
      </c>
      <c r="AM5">
        <v>5</v>
      </c>
      <c r="AN5">
        <v>6</v>
      </c>
      <c r="AO5">
        <v>7</v>
      </c>
      <c r="AP5">
        <v>8</v>
      </c>
      <c r="AQ5">
        <v>9</v>
      </c>
      <c r="AR5">
        <v>10</v>
      </c>
    </row>
    <row r="7" spans="1:2" s="7" customFormat="1" x14ac:dyDescent="0.25">
      <c r="A7" s="7" t="s">
        <v>63</v>
      </c>
      <c r="B7" s="8">
        <v>13699966</v>
      </c>
    </row>
    <row r="8" spans="1:2" x14ac:dyDescent="0.25">
      <c r="A8" t="s">
        <v>64</v>
      </c>
      <c r="B8" s="9">
        <v>0.005555555555555556</v>
      </c>
    </row>
    <row r="9" spans="1:44" x14ac:dyDescent="0.25">
      <c r="A9" t="s">
        <v>65</v>
      </c>
      <c r="B9" s="2">
        <v>0.02</v>
      </c>
      <c r="C9" s="2">
        <v>0.03</v>
      </c>
      <c r="D9" s="2">
        <v>0.04</v>
      </c>
      <c r="E9" s="2">
        <v>0.05</v>
      </c>
      <c r="F9" s="2">
        <v>0.06</v>
      </c>
      <c r="G9" s="2">
        <v>0.07</v>
      </c>
      <c r="H9" s="2">
        <v>0.08</v>
      </c>
      <c r="I9" s="2">
        <v>0.08</v>
      </c>
      <c r="J9" s="2">
        <v>0.08</v>
      </c>
      <c r="K9" s="2">
        <v>0.08</v>
      </c>
      <c r="L9" s="2">
        <v>0.08</v>
      </c>
      <c r="M9" s="2">
        <v>0.07</v>
      </c>
      <c r="N9" s="2">
        <v>0.07</v>
      </c>
      <c r="O9" s="2">
        <v>0.06</v>
      </c>
      <c r="P9" s="2">
        <v>0.05</v>
      </c>
      <c r="Q9" s="2">
        <v>0.04</v>
      </c>
      <c r="R9" s="2">
        <v>0.03</v>
      </c>
      <c r="S9" s="2">
        <v>0.01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 spans="1:44" x14ac:dyDescent="0.25">
      <c r="A10" t="s">
        <v>66</v>
      </c>
      <c r="B10" s="4">
        <f>$B$7*B9</f>
      </c>
      <c r="C10" s="4">
        <f>$B$7*C9</f>
      </c>
      <c r="D10" s="4">
        <f>$B$7*D9</f>
      </c>
      <c r="E10" s="4">
        <f>$B$7*E9</f>
      </c>
      <c r="F10" s="4">
        <f>$B$7*F9</f>
      </c>
      <c r="G10" s="4">
        <f>$B$7*G9</f>
      </c>
      <c r="H10" s="4">
        <f>$B$7*H9</f>
      </c>
      <c r="I10" s="4">
        <f>$B$7*I9</f>
      </c>
      <c r="J10" s="4">
        <f>$B$7*J9</f>
      </c>
      <c r="K10" s="4">
        <f>$B$7*K9</f>
      </c>
      <c r="L10" s="4">
        <f>$B$7*L9</f>
      </c>
      <c r="M10" s="4">
        <f>$B$7*M9</f>
      </c>
      <c r="N10" s="4">
        <f>$B$7*N9</f>
      </c>
      <c r="O10" s="4">
        <f>$B$7*O9</f>
      </c>
      <c r="P10" s="4">
        <f>$B$7*P9</f>
      </c>
      <c r="Q10" s="4">
        <f>$B$7*Q9</f>
      </c>
      <c r="R10" s="4">
        <f>$B$7*R9</f>
      </c>
      <c r="S10" s="4">
        <f>$B$7*S9</f>
      </c>
      <c r="T10" s="4">
        <f>$B$7*T9</f>
      </c>
      <c r="U10" s="4">
        <f>$B$7*U9</f>
      </c>
      <c r="V10" s="4">
        <f>$B$7*V9</f>
      </c>
      <c r="W10" s="4">
        <f>$B$7*W9</f>
      </c>
      <c r="X10" s="4">
        <f>$B$7*X9</f>
      </c>
      <c r="Y10" s="4">
        <f>$B$7*Y9</f>
      </c>
      <c r="Z10" s="4">
        <f>$B$7*Z9</f>
      </c>
      <c r="AA10" s="4">
        <f>$B$7*AA9</f>
      </c>
      <c r="AB10" s="4">
        <f>$B$7*AB9</f>
      </c>
      <c r="AC10" s="4">
        <f>$B$7*AC9</f>
      </c>
      <c r="AD10" s="4">
        <f>$B$7*AD9</f>
      </c>
      <c r="AE10" s="4">
        <f>$B$7*AE9</f>
      </c>
      <c r="AF10" s="4">
        <f>$B$7*AF9</f>
      </c>
      <c r="AG10" s="4">
        <f>$B$7*AG9</f>
      </c>
      <c r="AH10" s="4">
        <f>$B$7*AH9</f>
      </c>
      <c r="AI10" s="4">
        <f>$B$7*AI9</f>
      </c>
      <c r="AJ10" s="4">
        <f>$B$7*AJ9</f>
      </c>
      <c r="AK10" s="4">
        <f>$B$7*AK9</f>
      </c>
      <c r="AL10" s="4">
        <f>$B$7*AL9</f>
      </c>
      <c r="AM10" s="4">
        <f>$B$7*AM9</f>
      </c>
      <c r="AN10" s="4">
        <f>$B$7*AN9</f>
      </c>
      <c r="AO10" s="4">
        <f>$B$7*AO9</f>
      </c>
      <c r="AP10" s="4">
        <f>$B$7*AP9</f>
      </c>
      <c r="AQ10" s="4">
        <f>$B$7*AQ9</f>
      </c>
      <c r="AR10" s="4">
        <f>$B$7*AR9</f>
      </c>
    </row>
    <row r="11" spans="1:44" x14ac:dyDescent="0.25">
      <c r="A11" t="s">
        <v>67</v>
      </c>
      <c r="B11" s="4">
        <f>B10</f>
      </c>
      <c r="C11" s="4">
        <f>B11+C10</f>
      </c>
      <c r="D11" s="4">
        <f>C11+D10</f>
      </c>
      <c r="E11" s="4">
        <f>D11+E10</f>
      </c>
      <c r="F11" s="4">
        <f>E11+F10</f>
      </c>
      <c r="G11" s="4">
        <f>F11+G10</f>
      </c>
      <c r="H11" s="4">
        <f>G11+H10</f>
      </c>
      <c r="I11" s="4">
        <f>H11+I10</f>
      </c>
      <c r="J11" s="4">
        <f>I11+J10</f>
      </c>
      <c r="K11" s="4">
        <f>J11+K10</f>
      </c>
      <c r="L11" s="4">
        <f>K11+L10</f>
      </c>
      <c r="M11" s="4">
        <f>L11+M10</f>
      </c>
      <c r="N11" s="4">
        <f>M11+N10</f>
      </c>
      <c r="O11" s="4">
        <f>N11+O10</f>
      </c>
      <c r="P11" s="4">
        <f>O11+P10</f>
      </c>
      <c r="Q11" s="4">
        <f>P11+Q10</f>
      </c>
      <c r="R11" s="4">
        <f>Q11+R10</f>
      </c>
      <c r="S11" s="4">
        <f>R11+S10</f>
      </c>
      <c r="T11" s="4">
        <f>S11+T10</f>
      </c>
      <c r="U11" s="4">
        <f>T11+U10</f>
      </c>
      <c r="V11" s="4">
        <f>U11+V10</f>
      </c>
      <c r="W11" s="4">
        <f>V11+W10</f>
      </c>
      <c r="X11" s="4">
        <f>W11+X10</f>
      </c>
      <c r="Y11" s="4">
        <f>X11+Y10</f>
      </c>
      <c r="Z11" s="4">
        <f>Y11+Z10</f>
      </c>
      <c r="AA11" s="4">
        <f>Z11+AA10</f>
      </c>
      <c r="AB11" s="4">
        <f>AA11+AB10</f>
      </c>
      <c r="AC11" s="4">
        <f>AB11+AC10</f>
      </c>
      <c r="AD11" s="4">
        <f>AC11+AD10</f>
      </c>
      <c r="AE11" s="4">
        <f>AD11+AE10</f>
      </c>
      <c r="AF11" s="4">
        <f>AE11+AF10</f>
      </c>
      <c r="AG11" s="4">
        <f>AF11+AG10</f>
      </c>
      <c r="AH11" s="4">
        <f>AG11+AH10</f>
      </c>
      <c r="AI11" s="4">
        <f>AH11+AI10</f>
      </c>
      <c r="AJ11" s="4">
        <f>AI11+AJ10</f>
      </c>
      <c r="AK11" s="4">
        <f>AJ11+AK10</f>
      </c>
      <c r="AL11" s="4">
        <f>AK11+AL10</f>
      </c>
      <c r="AM11" s="4">
        <f>AL11+AM10</f>
      </c>
      <c r="AN11" s="4">
        <f>AM11+AN10</f>
      </c>
      <c r="AO11" s="4">
        <f>AN11+AO10</f>
      </c>
      <c r="AP11" s="4">
        <f>AO11+AP10</f>
      </c>
      <c r="AQ11" s="4">
        <f>AP11+AQ10</f>
      </c>
      <c r="AR11" s="4">
        <f>AQ11+AR10</f>
      </c>
    </row>
    <row r="12" spans="1:44" x14ac:dyDescent="0.25">
      <c r="A12" t="s">
        <v>68</v>
      </c>
      <c r="B12" s="4">
        <f>IF(0&lt;'Parameters'!$B$5,0,MAX(0,MIN(B11*$B$8*B4,B11-0)))</f>
      </c>
      <c r="C12" s="4">
        <f>IF(1&lt;'Parameters'!$B$5,0,MAX(0,MIN(C11*$B$8*C4,C11-B13)))</f>
      </c>
      <c r="D12" s="4">
        <f>IF(2&lt;'Parameters'!$B$5,0,MAX(0,MIN(D11*$B$8*D4,D11-C13)))</f>
      </c>
      <c r="E12" s="4">
        <f>IF(3&lt;'Parameters'!$B$5,0,MAX(0,MIN(E11*$B$8*E4,E11-D13)))</f>
      </c>
      <c r="F12" s="4">
        <f>IF(4&lt;'Parameters'!$B$5,0,MAX(0,MIN(F11*$B$8*F4,F11-E13)))</f>
      </c>
      <c r="G12" s="4">
        <f>IF(5&lt;'Parameters'!$B$5,0,MAX(0,MIN(G11*$B$8*G4,G11-F13)))</f>
      </c>
      <c r="H12" s="4">
        <f>IF(6&lt;'Parameters'!$B$5,0,MAX(0,MIN(H11*$B$8*H4,H11-G13)))</f>
      </c>
      <c r="I12" s="4">
        <f>IF(7&lt;'Parameters'!$B$5,0,MAX(0,MIN(I11*$B$8*I4,I11-H13)))</f>
      </c>
      <c r="J12" s="4">
        <f>IF(8&lt;'Parameters'!$B$5,0,MAX(0,MIN(J11*$B$8*J4,J11-I13)))</f>
      </c>
      <c r="K12" s="4">
        <f>IF(9&lt;'Parameters'!$B$5,0,MAX(0,MIN(K11*$B$8*K4,K11-J13)))</f>
      </c>
      <c r="L12" s="4">
        <f>IF(10&lt;'Parameters'!$B$5,0,MAX(0,MIN(L11*$B$8*L4,L11-K13)))</f>
      </c>
      <c r="M12" s="4">
        <f>IF(11&lt;'Parameters'!$B$5,0,MAX(0,MIN(M11*$B$8*M4,M11-L13)))</f>
      </c>
      <c r="N12" s="4">
        <f>IF(12&lt;'Parameters'!$B$5,0,MAX(0,MIN(N11*$B$8*N4,N11-M13)))</f>
      </c>
      <c r="O12" s="4">
        <f>IF(13&lt;'Parameters'!$B$5,0,MAX(0,MIN(O11*$B$8*O4,O11-N13)))</f>
      </c>
      <c r="P12" s="4">
        <f>IF(14&lt;'Parameters'!$B$5,0,MAX(0,MIN(P11*$B$8*P4,P11-O13)))</f>
      </c>
      <c r="Q12" s="4">
        <f>IF(15&lt;'Parameters'!$B$5,0,MAX(0,MIN(Q11*$B$8*Q4,Q11-P13)))</f>
      </c>
      <c r="R12" s="4">
        <f>IF(16&lt;'Parameters'!$B$5,0,MAX(0,MIN(R11*$B$8*R4,R11-Q13)))</f>
      </c>
      <c r="S12" s="4">
        <f>IF(17&lt;'Parameters'!$B$5,0,MAX(0,MIN(S11*$B$8*S4,S11-R13)))</f>
      </c>
      <c r="T12" s="4">
        <f>IF(18&lt;'Parameters'!$B$5,0,MAX(0,MIN(T11*$B$8*T4,T11-S13)))</f>
      </c>
      <c r="U12" s="4">
        <f>IF(19&lt;'Parameters'!$B$5,0,MAX(0,MIN(U11*$B$8*U4,U11-T13)))</f>
      </c>
      <c r="V12" s="4">
        <f>IF(20&lt;'Parameters'!$B$5,0,MAX(0,MIN(V11*$B$8*V4,V11-U13)))</f>
      </c>
      <c r="W12" s="4">
        <f>IF(21&lt;'Parameters'!$B$5,0,MAX(0,MIN(W11*$B$8*W4,W11-V13)))</f>
      </c>
      <c r="X12" s="4">
        <f>IF(22&lt;'Parameters'!$B$5,0,MAX(0,MIN(X11*$B$8*X4,X11-W13)))</f>
      </c>
      <c r="Y12" s="4">
        <f>IF(23&lt;'Parameters'!$B$5,0,MAX(0,MIN(Y11*$B$8*Y4,Y11-X13)))</f>
      </c>
      <c r="Z12" s="4">
        <f>IF(24&lt;'Parameters'!$B$5,0,MAX(0,MIN(Z11*$B$8*Z4,Z11-Y13)))</f>
      </c>
      <c r="AA12" s="4">
        <f>IF(25&lt;'Parameters'!$B$5,0,MAX(0,MIN(AA11*$B$8*AA4,AA11-Z13)))</f>
      </c>
      <c r="AB12" s="4">
        <f>IF(26&lt;'Parameters'!$B$5,0,MAX(0,MIN(AB11*$B$8*AB4,AB11-AA13)))</f>
      </c>
      <c r="AC12" s="4">
        <f>IF(27&lt;'Parameters'!$B$5,0,MAX(0,MIN(AC11*$B$8*AC4,AC11-AB13)))</f>
      </c>
      <c r="AD12" s="4">
        <f>IF(28&lt;'Parameters'!$B$5,0,MAX(0,MIN(AD11*$B$8*AD4,AD11-AC13)))</f>
      </c>
      <c r="AE12" s="4">
        <f>IF(29&lt;'Parameters'!$B$5,0,MAX(0,MIN(AE11*$B$8*AE4,AE11-AD13)))</f>
      </c>
      <c r="AF12" s="4">
        <f>IF(30&lt;'Parameters'!$B$5,0,MAX(0,MIN(AF11*$B$8*AF4,AF11-AE13)))</f>
      </c>
      <c r="AG12" s="4">
        <f>IF(31&lt;'Parameters'!$B$5,0,MAX(0,MIN(AG11*$B$8*AG4,AG11-AF13)))</f>
      </c>
      <c r="AH12" s="4">
        <f>IF(32&lt;'Parameters'!$B$5,0,MAX(0,MIN(AH11*$B$8*AH4,AH11-AG13)))</f>
      </c>
      <c r="AI12" s="4">
        <f>IF(33&lt;'Parameters'!$B$5,0,MAX(0,MIN(AI11*$B$8*AI4,AI11-AH13)))</f>
      </c>
      <c r="AJ12" s="4">
        <f>IF(34&lt;'Parameters'!$B$5,0,MAX(0,MIN(AJ11*$B$8*AJ4,AJ11-AI13)))</f>
      </c>
      <c r="AK12" s="4">
        <f>IF(35&lt;'Parameters'!$B$5,0,MAX(0,MIN(AK11*$B$8*AK4,AK11-AJ13)))</f>
      </c>
      <c r="AL12" s="4">
        <f>IF(36&lt;'Parameters'!$B$5,0,MAX(0,MIN(AL11*$B$8*AL4,AL11-AK13)))</f>
      </c>
      <c r="AM12" s="4">
        <f>IF(37&lt;'Parameters'!$B$5,0,MAX(0,MIN(AM11*$B$8*AM4,AM11-AL13)))</f>
      </c>
      <c r="AN12" s="4">
        <f>IF(38&lt;'Parameters'!$B$5,0,MAX(0,MIN(AN11*$B$8*AN4,AN11-AM13)))</f>
      </c>
      <c r="AO12" s="4">
        <f>IF(39&lt;'Parameters'!$B$5,0,MAX(0,MIN(AO11*$B$8*AO4,AO11-AN13)))</f>
      </c>
      <c r="AP12" s="4">
        <f>IF(40&lt;'Parameters'!$B$5,0,MAX(0,MIN(AP11*$B$8*AP4,AP11-AO13)))</f>
      </c>
      <c r="AQ12" s="4">
        <f>IF(41&lt;'Parameters'!$B$5,0,MAX(0,MIN(AQ11*$B$8*AQ4,AQ11-AP13)))</f>
      </c>
      <c r="AR12" s="4">
        <f>IF(42&lt;'Parameters'!$B$5,0,MAX(0,MIN(AR11*$B$8*AR4,AR11-AQ13)))</f>
      </c>
    </row>
    <row r="13" spans="1:44" x14ac:dyDescent="0.25">
      <c r="A13" t="s">
        <v>69</v>
      </c>
      <c r="B13" s="4">
        <f>B12</f>
      </c>
      <c r="C13" s="4">
        <f>B13+C12</f>
      </c>
      <c r="D13" s="4">
        <f>C13+D12</f>
      </c>
      <c r="E13" s="4">
        <f>D13+E12</f>
      </c>
      <c r="F13" s="4">
        <f>E13+F12</f>
      </c>
      <c r="G13" s="4">
        <f>F13+G12</f>
      </c>
      <c r="H13" s="4">
        <f>G13+H12</f>
      </c>
      <c r="I13" s="4">
        <f>H13+I12</f>
      </c>
      <c r="J13" s="4">
        <f>I13+J12</f>
      </c>
      <c r="K13" s="4">
        <f>J13+K12</f>
      </c>
      <c r="L13" s="4">
        <f>K13+L12</f>
      </c>
      <c r="M13" s="4">
        <f>L13+M12</f>
      </c>
      <c r="N13" s="4">
        <f>M13+N12</f>
      </c>
      <c r="O13" s="4">
        <f>N13+O12</f>
      </c>
      <c r="P13" s="4">
        <f>O13+P12</f>
      </c>
      <c r="Q13" s="4">
        <f>P13+Q12</f>
      </c>
      <c r="R13" s="4">
        <f>Q13+R12</f>
      </c>
      <c r="S13" s="4">
        <f>R13+S12</f>
      </c>
      <c r="T13" s="4">
        <f>S13+T12</f>
      </c>
      <c r="U13" s="4">
        <f>T13+U12</f>
      </c>
      <c r="V13" s="4">
        <f>U13+V12</f>
      </c>
      <c r="W13" s="4">
        <f>V13+W12</f>
      </c>
      <c r="X13" s="4">
        <f>W13+X12</f>
      </c>
      <c r="Y13" s="4">
        <f>X13+Y12</f>
      </c>
      <c r="Z13" s="4">
        <f>Y13+Z12</f>
      </c>
      <c r="AA13" s="4">
        <f>Z13+AA12</f>
      </c>
      <c r="AB13" s="4">
        <f>AA13+AB12</f>
      </c>
      <c r="AC13" s="4">
        <f>AB13+AC12</f>
      </c>
      <c r="AD13" s="4">
        <f>AC13+AD12</f>
      </c>
      <c r="AE13" s="4">
        <f>AD13+AE12</f>
      </c>
      <c r="AF13" s="4">
        <f>AE13+AF12</f>
      </c>
      <c r="AG13" s="4">
        <f>AF13+AG12</f>
      </c>
      <c r="AH13" s="4">
        <f>AG13+AH12</f>
      </c>
      <c r="AI13" s="4">
        <f>AH13+AI12</f>
      </c>
      <c r="AJ13" s="4">
        <f>AI13+AJ12</f>
      </c>
      <c r="AK13" s="4">
        <f>AJ13+AK12</f>
      </c>
      <c r="AL13" s="4">
        <f>AK13+AL12</f>
      </c>
      <c r="AM13" s="4">
        <f>AL13+AM12</f>
      </c>
      <c r="AN13" s="4">
        <f>AM13+AN12</f>
      </c>
      <c r="AO13" s="4">
        <f>AN13+AO12</f>
      </c>
      <c r="AP13" s="4">
        <f>AO13+AP12</f>
      </c>
      <c r="AQ13" s="4">
        <f>AP13+AQ12</f>
      </c>
      <c r="AR13" s="4">
        <f>AQ13+AR12</f>
      </c>
    </row>
    <row r="15" spans="1:2" s="7" customFormat="1" x14ac:dyDescent="0.25">
      <c r="A15" s="7" t="s">
        <v>70</v>
      </c>
      <c r="B15" s="8">
        <v>9578612</v>
      </c>
    </row>
    <row r="16" spans="1:2" x14ac:dyDescent="0.25">
      <c r="A16" t="s">
        <v>71</v>
      </c>
      <c r="B16" s="9">
        <v>0.0033333333333333335</v>
      </c>
    </row>
    <row r="17" spans="1:44" x14ac:dyDescent="0.25">
      <c r="A17" t="s">
        <v>72</v>
      </c>
      <c r="B17" s="2">
        <v>0.02</v>
      </c>
      <c r="C17" s="2">
        <v>0.03</v>
      </c>
      <c r="D17" s="2">
        <v>0.04</v>
      </c>
      <c r="E17" s="2">
        <v>0.05</v>
      </c>
      <c r="F17" s="2">
        <v>0.06</v>
      </c>
      <c r="G17" s="2">
        <v>0.07</v>
      </c>
      <c r="H17" s="2">
        <v>0.08</v>
      </c>
      <c r="I17" s="2">
        <v>0.08</v>
      </c>
      <c r="J17" s="2">
        <v>0.08</v>
      </c>
      <c r="K17" s="2">
        <v>0.08</v>
      </c>
      <c r="L17" s="2">
        <v>0.08</v>
      </c>
      <c r="M17" s="2">
        <v>0.07</v>
      </c>
      <c r="N17" s="2">
        <v>0.07</v>
      </c>
      <c r="O17" s="2">
        <v>0.06</v>
      </c>
      <c r="P17" s="2">
        <v>0.05</v>
      </c>
      <c r="Q17" s="2">
        <v>0.04</v>
      </c>
      <c r="R17" s="2">
        <v>0.03</v>
      </c>
      <c r="S17" s="2">
        <v>0.01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 spans="1:44" x14ac:dyDescent="0.25">
      <c r="A18" t="s">
        <v>73</v>
      </c>
      <c r="B18" s="4">
        <f>$B$15*B17</f>
      </c>
      <c r="C18" s="4">
        <f>$B$15*C17</f>
      </c>
      <c r="D18" s="4">
        <f>$B$15*D17</f>
      </c>
      <c r="E18" s="4">
        <f>$B$15*E17</f>
      </c>
      <c r="F18" s="4">
        <f>$B$15*F17</f>
      </c>
      <c r="G18" s="4">
        <f>$B$15*G17</f>
      </c>
      <c r="H18" s="4">
        <f>$B$15*H17</f>
      </c>
      <c r="I18" s="4">
        <f>$B$15*I17</f>
      </c>
      <c r="J18" s="4">
        <f>$B$15*J17</f>
      </c>
      <c r="K18" s="4">
        <f>$B$15*K17</f>
      </c>
      <c r="L18" s="4">
        <f>$B$15*L17</f>
      </c>
      <c r="M18" s="4">
        <f>$B$15*M17</f>
      </c>
      <c r="N18" s="4">
        <f>$B$15*N17</f>
      </c>
      <c r="O18" s="4">
        <f>$B$15*O17</f>
      </c>
      <c r="P18" s="4">
        <f>$B$15*P17</f>
      </c>
      <c r="Q18" s="4">
        <f>$B$15*Q17</f>
      </c>
      <c r="R18" s="4">
        <f>$B$15*R17</f>
      </c>
      <c r="S18" s="4">
        <f>$B$15*S17</f>
      </c>
      <c r="T18" s="4">
        <f>$B$15*T17</f>
      </c>
      <c r="U18" s="4">
        <f>$B$15*U17</f>
      </c>
      <c r="V18" s="4">
        <f>$B$15*V17</f>
      </c>
      <c r="W18" s="4">
        <f>$B$15*W17</f>
      </c>
      <c r="X18" s="4">
        <f>$B$15*X17</f>
      </c>
      <c r="Y18" s="4">
        <f>$B$15*Y17</f>
      </c>
      <c r="Z18" s="4">
        <f>$B$15*Z17</f>
      </c>
      <c r="AA18" s="4">
        <f>$B$15*AA17</f>
      </c>
      <c r="AB18" s="4">
        <f>$B$15*AB17</f>
      </c>
      <c r="AC18" s="4">
        <f>$B$15*AC17</f>
      </c>
      <c r="AD18" s="4">
        <f>$B$15*AD17</f>
      </c>
      <c r="AE18" s="4">
        <f>$B$15*AE17</f>
      </c>
      <c r="AF18" s="4">
        <f>$B$15*AF17</f>
      </c>
      <c r="AG18" s="4">
        <f>$B$15*AG17</f>
      </c>
      <c r="AH18" s="4">
        <f>$B$15*AH17</f>
      </c>
      <c r="AI18" s="4">
        <f>$B$15*AI17</f>
      </c>
      <c r="AJ18" s="4">
        <f>$B$15*AJ17</f>
      </c>
      <c r="AK18" s="4">
        <f>$B$15*AK17</f>
      </c>
      <c r="AL18" s="4">
        <f>$B$15*AL17</f>
      </c>
      <c r="AM18" s="4">
        <f>$B$15*AM17</f>
      </c>
      <c r="AN18" s="4">
        <f>$B$15*AN17</f>
      </c>
      <c r="AO18" s="4">
        <f>$B$15*AO17</f>
      </c>
      <c r="AP18" s="4">
        <f>$B$15*AP17</f>
      </c>
      <c r="AQ18" s="4">
        <f>$B$15*AQ17</f>
      </c>
      <c r="AR18" s="4">
        <f>$B$15*AR17</f>
      </c>
    </row>
    <row r="19" spans="1:44" x14ac:dyDescent="0.25">
      <c r="A19" t="s">
        <v>74</v>
      </c>
      <c r="B19" s="4">
        <f>B18</f>
      </c>
      <c r="C19" s="4">
        <f>B19+C18</f>
      </c>
      <c r="D19" s="4">
        <f>C19+D18</f>
      </c>
      <c r="E19" s="4">
        <f>D19+E18</f>
      </c>
      <c r="F19" s="4">
        <f>E19+F18</f>
      </c>
      <c r="G19" s="4">
        <f>F19+G18</f>
      </c>
      <c r="H19" s="4">
        <f>G19+H18</f>
      </c>
      <c r="I19" s="4">
        <f>H19+I18</f>
      </c>
      <c r="J19" s="4">
        <f>I19+J18</f>
      </c>
      <c r="K19" s="4">
        <f>J19+K18</f>
      </c>
      <c r="L19" s="4">
        <f>K19+L18</f>
      </c>
      <c r="M19" s="4">
        <f>L19+M18</f>
      </c>
      <c r="N19" s="4">
        <f>M19+N18</f>
      </c>
      <c r="O19" s="4">
        <f>N19+O18</f>
      </c>
      <c r="P19" s="4">
        <f>O19+P18</f>
      </c>
      <c r="Q19" s="4">
        <f>P19+Q18</f>
      </c>
      <c r="R19" s="4">
        <f>Q19+R18</f>
      </c>
      <c r="S19" s="4">
        <f>R19+S18</f>
      </c>
      <c r="T19" s="4">
        <f>S19+T18</f>
      </c>
      <c r="U19" s="4">
        <f>T19+U18</f>
      </c>
      <c r="V19" s="4">
        <f>U19+V18</f>
      </c>
      <c r="W19" s="4">
        <f>V19+W18</f>
      </c>
      <c r="X19" s="4">
        <f>W19+X18</f>
      </c>
      <c r="Y19" s="4">
        <f>X19+Y18</f>
      </c>
      <c r="Z19" s="4">
        <f>Y19+Z18</f>
      </c>
      <c r="AA19" s="4">
        <f>Z19+AA18</f>
      </c>
      <c r="AB19" s="4">
        <f>AA19+AB18</f>
      </c>
      <c r="AC19" s="4">
        <f>AB19+AC18</f>
      </c>
      <c r="AD19" s="4">
        <f>AC19+AD18</f>
      </c>
      <c r="AE19" s="4">
        <f>AD19+AE18</f>
      </c>
      <c r="AF19" s="4">
        <f>AE19+AF18</f>
      </c>
      <c r="AG19" s="4">
        <f>AF19+AG18</f>
      </c>
      <c r="AH19" s="4">
        <f>AG19+AH18</f>
      </c>
      <c r="AI19" s="4">
        <f>AH19+AI18</f>
      </c>
      <c r="AJ19" s="4">
        <f>AI19+AJ18</f>
      </c>
      <c r="AK19" s="4">
        <f>AJ19+AK18</f>
      </c>
      <c r="AL19" s="4">
        <f>AK19+AL18</f>
      </c>
      <c r="AM19" s="4">
        <f>AL19+AM18</f>
      </c>
      <c r="AN19" s="4">
        <f>AM19+AN18</f>
      </c>
      <c r="AO19" s="4">
        <f>AN19+AO18</f>
      </c>
      <c r="AP19" s="4">
        <f>AO19+AP18</f>
      </c>
      <c r="AQ19" s="4">
        <f>AP19+AQ18</f>
      </c>
      <c r="AR19" s="4">
        <f>AQ19+AR18</f>
      </c>
    </row>
    <row r="20" spans="1:44" x14ac:dyDescent="0.25">
      <c r="A20" t="s">
        <v>75</v>
      </c>
      <c r="B20" s="4">
        <f>IF(0&lt;'Parameters'!$B$5,0,MAX(0,MIN(B19*$B$16*B4,B19-0)))</f>
      </c>
      <c r="C20" s="4">
        <f>IF(1&lt;'Parameters'!$B$5,0,MAX(0,MIN(C19*$B$16*C4,C19-B21)))</f>
      </c>
      <c r="D20" s="4">
        <f>IF(2&lt;'Parameters'!$B$5,0,MAX(0,MIN(D19*$B$16*D4,D19-C21)))</f>
      </c>
      <c r="E20" s="4">
        <f>IF(3&lt;'Parameters'!$B$5,0,MAX(0,MIN(E19*$B$16*E4,E19-D21)))</f>
      </c>
      <c r="F20" s="4">
        <f>IF(4&lt;'Parameters'!$B$5,0,MAX(0,MIN(F19*$B$16*F4,F19-E21)))</f>
      </c>
      <c r="G20" s="4">
        <f>IF(5&lt;'Parameters'!$B$5,0,MAX(0,MIN(G19*$B$16*G4,G19-F21)))</f>
      </c>
      <c r="H20" s="4">
        <f>IF(6&lt;'Parameters'!$B$5,0,MAX(0,MIN(H19*$B$16*H4,H19-G21)))</f>
      </c>
      <c r="I20" s="4">
        <f>IF(7&lt;'Parameters'!$B$5,0,MAX(0,MIN(I19*$B$16*I4,I19-H21)))</f>
      </c>
      <c r="J20" s="4">
        <f>IF(8&lt;'Parameters'!$B$5,0,MAX(0,MIN(J19*$B$16*J4,J19-I21)))</f>
      </c>
      <c r="K20" s="4">
        <f>IF(9&lt;'Parameters'!$B$5,0,MAX(0,MIN(K19*$B$16*K4,K19-J21)))</f>
      </c>
      <c r="L20" s="4">
        <f>IF(10&lt;'Parameters'!$B$5,0,MAX(0,MIN(L19*$B$16*L4,L19-K21)))</f>
      </c>
      <c r="M20" s="4">
        <f>IF(11&lt;'Parameters'!$B$5,0,MAX(0,MIN(M19*$B$16*M4,M19-L21)))</f>
      </c>
      <c r="N20" s="4">
        <f>IF(12&lt;'Parameters'!$B$5,0,MAX(0,MIN(N19*$B$16*N4,N19-M21)))</f>
      </c>
      <c r="O20" s="4">
        <f>IF(13&lt;'Parameters'!$B$5,0,MAX(0,MIN(O19*$B$16*O4,O19-N21)))</f>
      </c>
      <c r="P20" s="4">
        <f>IF(14&lt;'Parameters'!$B$5,0,MAX(0,MIN(P19*$B$16*P4,P19-O21)))</f>
      </c>
      <c r="Q20" s="4">
        <f>IF(15&lt;'Parameters'!$B$5,0,MAX(0,MIN(Q19*$B$16*Q4,Q19-P21)))</f>
      </c>
      <c r="R20" s="4">
        <f>IF(16&lt;'Parameters'!$B$5,0,MAX(0,MIN(R19*$B$16*R4,R19-Q21)))</f>
      </c>
      <c r="S20" s="4">
        <f>IF(17&lt;'Parameters'!$B$5,0,MAX(0,MIN(S19*$B$16*S4,S19-R21)))</f>
      </c>
      <c r="T20" s="4">
        <f>IF(18&lt;'Parameters'!$B$5,0,MAX(0,MIN(T19*$B$16*T4,T19-S21)))</f>
      </c>
      <c r="U20" s="4">
        <f>IF(19&lt;'Parameters'!$B$5,0,MAX(0,MIN(U19*$B$16*U4,U19-T21)))</f>
      </c>
      <c r="V20" s="4">
        <f>IF(20&lt;'Parameters'!$B$5,0,MAX(0,MIN(V19*$B$16*V4,V19-U21)))</f>
      </c>
      <c r="W20" s="4">
        <f>IF(21&lt;'Parameters'!$B$5,0,MAX(0,MIN(W19*$B$16*W4,W19-V21)))</f>
      </c>
      <c r="X20" s="4">
        <f>IF(22&lt;'Parameters'!$B$5,0,MAX(0,MIN(X19*$B$16*X4,X19-W21)))</f>
      </c>
      <c r="Y20" s="4">
        <f>IF(23&lt;'Parameters'!$B$5,0,MAX(0,MIN(Y19*$B$16*Y4,Y19-X21)))</f>
      </c>
      <c r="Z20" s="4">
        <f>IF(24&lt;'Parameters'!$B$5,0,MAX(0,MIN(Z19*$B$16*Z4,Z19-Y21)))</f>
      </c>
      <c r="AA20" s="4">
        <f>IF(25&lt;'Parameters'!$B$5,0,MAX(0,MIN(AA19*$B$16*AA4,AA19-Z21)))</f>
      </c>
      <c r="AB20" s="4">
        <f>IF(26&lt;'Parameters'!$B$5,0,MAX(0,MIN(AB19*$B$16*AB4,AB19-AA21)))</f>
      </c>
      <c r="AC20" s="4">
        <f>IF(27&lt;'Parameters'!$B$5,0,MAX(0,MIN(AC19*$B$16*AC4,AC19-AB21)))</f>
      </c>
      <c r="AD20" s="4">
        <f>IF(28&lt;'Parameters'!$B$5,0,MAX(0,MIN(AD19*$B$16*AD4,AD19-AC21)))</f>
      </c>
      <c r="AE20" s="4">
        <f>IF(29&lt;'Parameters'!$B$5,0,MAX(0,MIN(AE19*$B$16*AE4,AE19-AD21)))</f>
      </c>
      <c r="AF20" s="4">
        <f>IF(30&lt;'Parameters'!$B$5,0,MAX(0,MIN(AF19*$B$16*AF4,AF19-AE21)))</f>
      </c>
      <c r="AG20" s="4">
        <f>IF(31&lt;'Parameters'!$B$5,0,MAX(0,MIN(AG19*$B$16*AG4,AG19-AF21)))</f>
      </c>
      <c r="AH20" s="4">
        <f>IF(32&lt;'Parameters'!$B$5,0,MAX(0,MIN(AH19*$B$16*AH4,AH19-AG21)))</f>
      </c>
      <c r="AI20" s="4">
        <f>IF(33&lt;'Parameters'!$B$5,0,MAX(0,MIN(AI19*$B$16*AI4,AI19-AH21)))</f>
      </c>
      <c r="AJ20" s="4">
        <f>IF(34&lt;'Parameters'!$B$5,0,MAX(0,MIN(AJ19*$B$16*AJ4,AJ19-AI21)))</f>
      </c>
      <c r="AK20" s="4">
        <f>IF(35&lt;'Parameters'!$B$5,0,MAX(0,MIN(AK19*$B$16*AK4,AK19-AJ21)))</f>
      </c>
      <c r="AL20" s="4">
        <f>IF(36&lt;'Parameters'!$B$5,0,MAX(0,MIN(AL19*$B$16*AL4,AL19-AK21)))</f>
      </c>
      <c r="AM20" s="4">
        <f>IF(37&lt;'Parameters'!$B$5,0,MAX(0,MIN(AM19*$B$16*AM4,AM19-AL21)))</f>
      </c>
      <c r="AN20" s="4">
        <f>IF(38&lt;'Parameters'!$B$5,0,MAX(0,MIN(AN19*$B$16*AN4,AN19-AM21)))</f>
      </c>
      <c r="AO20" s="4">
        <f>IF(39&lt;'Parameters'!$B$5,0,MAX(0,MIN(AO19*$B$16*AO4,AO19-AN21)))</f>
      </c>
      <c r="AP20" s="4">
        <f>IF(40&lt;'Parameters'!$B$5,0,MAX(0,MIN(AP19*$B$16*AP4,AP19-AO21)))</f>
      </c>
      <c r="AQ20" s="4">
        <f>IF(41&lt;'Parameters'!$B$5,0,MAX(0,MIN(AQ19*$B$16*AQ4,AQ19-AP21)))</f>
      </c>
      <c r="AR20" s="4">
        <f>IF(42&lt;'Parameters'!$B$5,0,MAX(0,MIN(AR19*$B$16*AR4,AR19-AQ21)))</f>
      </c>
    </row>
    <row r="21" spans="1:44" x14ac:dyDescent="0.25">
      <c r="A21" t="s">
        <v>76</v>
      </c>
      <c r="B21" s="4">
        <f>B20</f>
      </c>
      <c r="C21" s="4">
        <f>B21+C20</f>
      </c>
      <c r="D21" s="4">
        <f>C21+D20</f>
      </c>
      <c r="E21" s="4">
        <f>D21+E20</f>
      </c>
      <c r="F21" s="4">
        <f>E21+F20</f>
      </c>
      <c r="G21" s="4">
        <f>F21+G20</f>
      </c>
      <c r="H21" s="4">
        <f>G21+H20</f>
      </c>
      <c r="I21" s="4">
        <f>H21+I20</f>
      </c>
      <c r="J21" s="4">
        <f>I21+J20</f>
      </c>
      <c r="K21" s="4">
        <f>J21+K20</f>
      </c>
      <c r="L21" s="4">
        <f>K21+L20</f>
      </c>
      <c r="M21" s="4">
        <f>L21+M20</f>
      </c>
      <c r="N21" s="4">
        <f>M21+N20</f>
      </c>
      <c r="O21" s="4">
        <f>N21+O20</f>
      </c>
      <c r="P21" s="4">
        <f>O21+P20</f>
      </c>
      <c r="Q21" s="4">
        <f>P21+Q20</f>
      </c>
      <c r="R21" s="4">
        <f>Q21+R20</f>
      </c>
      <c r="S21" s="4">
        <f>R21+S20</f>
      </c>
      <c r="T21" s="4">
        <f>S21+T20</f>
      </c>
      <c r="U21" s="4">
        <f>T21+U20</f>
      </c>
      <c r="V21" s="4">
        <f>U21+V20</f>
      </c>
      <c r="W21" s="4">
        <f>V21+W20</f>
      </c>
      <c r="X21" s="4">
        <f>W21+X20</f>
      </c>
      <c r="Y21" s="4">
        <f>X21+Y20</f>
      </c>
      <c r="Z21" s="4">
        <f>Y21+Z20</f>
      </c>
      <c r="AA21" s="4">
        <f>Z21+AA20</f>
      </c>
      <c r="AB21" s="4">
        <f>AA21+AB20</f>
      </c>
      <c r="AC21" s="4">
        <f>AB21+AC20</f>
      </c>
      <c r="AD21" s="4">
        <f>AC21+AD20</f>
      </c>
      <c r="AE21" s="4">
        <f>AD21+AE20</f>
      </c>
      <c r="AF21" s="4">
        <f>AE21+AF20</f>
      </c>
      <c r="AG21" s="4">
        <f>AF21+AG20</f>
      </c>
      <c r="AH21" s="4">
        <f>AG21+AH20</f>
      </c>
      <c r="AI21" s="4">
        <f>AH21+AI20</f>
      </c>
      <c r="AJ21" s="4">
        <f>AI21+AJ20</f>
      </c>
      <c r="AK21" s="4">
        <f>AJ21+AK20</f>
      </c>
      <c r="AL21" s="4">
        <f>AK21+AL20</f>
      </c>
      <c r="AM21" s="4">
        <f>AL21+AM20</f>
      </c>
      <c r="AN21" s="4">
        <f>AM21+AN20</f>
      </c>
      <c r="AO21" s="4">
        <f>AN21+AO20</f>
      </c>
      <c r="AP21" s="4">
        <f>AO21+AP20</f>
      </c>
      <c r="AQ21" s="4">
        <f>AP21+AQ20</f>
      </c>
      <c r="AR21" s="4">
        <f>AQ21+AR20</f>
      </c>
    </row>
    <row r="23" spans="1:2" s="7" customFormat="1" x14ac:dyDescent="0.25">
      <c r="A23" s="7" t="s">
        <v>77</v>
      </c>
      <c r="B23" s="8">
        <v>2582095</v>
      </c>
    </row>
    <row r="24" spans="1:2" x14ac:dyDescent="0.25">
      <c r="A24" t="s">
        <v>78</v>
      </c>
      <c r="B24" s="9">
        <v>0.008333333333333333</v>
      </c>
    </row>
    <row r="25" spans="1:44" x14ac:dyDescent="0.25">
      <c r="A25" t="s">
        <v>79</v>
      </c>
      <c r="B25" s="2">
        <v>0.02</v>
      </c>
      <c r="C25" s="2">
        <v>0.03</v>
      </c>
      <c r="D25" s="2">
        <v>0.04</v>
      </c>
      <c r="E25" s="2">
        <v>0.05</v>
      </c>
      <c r="F25" s="2">
        <v>0.06</v>
      </c>
      <c r="G25" s="2">
        <v>0.07</v>
      </c>
      <c r="H25" s="2">
        <v>0.08</v>
      </c>
      <c r="I25" s="2">
        <v>0.08</v>
      </c>
      <c r="J25" s="2">
        <v>0.08</v>
      </c>
      <c r="K25" s="2">
        <v>0.08</v>
      </c>
      <c r="L25" s="2">
        <v>0.08</v>
      </c>
      <c r="M25" s="2">
        <v>0.07</v>
      </c>
      <c r="N25" s="2">
        <v>0.07</v>
      </c>
      <c r="O25" s="2">
        <v>0.06</v>
      </c>
      <c r="P25" s="2">
        <v>0.05</v>
      </c>
      <c r="Q25" s="2">
        <v>0.04</v>
      </c>
      <c r="R25" s="2">
        <v>0.03</v>
      </c>
      <c r="S25" s="2">
        <v>0.01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</row>
    <row r="26" spans="1:44" x14ac:dyDescent="0.25">
      <c r="A26" t="s">
        <v>80</v>
      </c>
      <c r="B26" s="4">
        <f>$B$23*B25</f>
      </c>
      <c r="C26" s="4">
        <f>$B$23*C25</f>
      </c>
      <c r="D26" s="4">
        <f>$B$23*D25</f>
      </c>
      <c r="E26" s="4">
        <f>$B$23*E25</f>
      </c>
      <c r="F26" s="4">
        <f>$B$23*F25</f>
      </c>
      <c r="G26" s="4">
        <f>$B$23*G25</f>
      </c>
      <c r="H26" s="4">
        <f>$B$23*H25</f>
      </c>
      <c r="I26" s="4">
        <f>$B$23*I25</f>
      </c>
      <c r="J26" s="4">
        <f>$B$23*J25</f>
      </c>
      <c r="K26" s="4">
        <f>$B$23*K25</f>
      </c>
      <c r="L26" s="4">
        <f>$B$23*L25</f>
      </c>
      <c r="M26" s="4">
        <f>$B$23*M25</f>
      </c>
      <c r="N26" s="4">
        <f>$B$23*N25</f>
      </c>
      <c r="O26" s="4">
        <f>$B$23*O25</f>
      </c>
      <c r="P26" s="4">
        <f>$B$23*P25</f>
      </c>
      <c r="Q26" s="4">
        <f>$B$23*Q25</f>
      </c>
      <c r="R26" s="4">
        <f>$B$23*R25</f>
      </c>
      <c r="S26" s="4">
        <f>$B$23*S25</f>
      </c>
      <c r="T26" s="4">
        <f>$B$23*T25</f>
      </c>
      <c r="U26" s="4">
        <f>$B$23*U25</f>
      </c>
      <c r="V26" s="4">
        <f>$B$23*V25</f>
      </c>
      <c r="W26" s="4">
        <f>$B$23*W25</f>
      </c>
      <c r="X26" s="4">
        <f>$B$23*X25</f>
      </c>
      <c r="Y26" s="4">
        <f>$B$23*Y25</f>
      </c>
      <c r="Z26" s="4">
        <f>$B$23*Z25</f>
      </c>
      <c r="AA26" s="4">
        <f>$B$23*AA25</f>
      </c>
      <c r="AB26" s="4">
        <f>$B$23*AB25</f>
      </c>
      <c r="AC26" s="4">
        <f>$B$23*AC25</f>
      </c>
      <c r="AD26" s="4">
        <f>$B$23*AD25</f>
      </c>
      <c r="AE26" s="4">
        <f>$B$23*AE25</f>
      </c>
      <c r="AF26" s="4">
        <f>$B$23*AF25</f>
      </c>
      <c r="AG26" s="4">
        <f>$B$23*AG25</f>
      </c>
      <c r="AH26" s="4">
        <f>$B$23*AH25</f>
      </c>
      <c r="AI26" s="4">
        <f>$B$23*AI25</f>
      </c>
      <c r="AJ26" s="4">
        <f>$B$23*AJ25</f>
      </c>
      <c r="AK26" s="4">
        <f>$B$23*AK25</f>
      </c>
      <c r="AL26" s="4">
        <f>$B$23*AL25</f>
      </c>
      <c r="AM26" s="4">
        <f>$B$23*AM25</f>
      </c>
      <c r="AN26" s="4">
        <f>$B$23*AN25</f>
      </c>
      <c r="AO26" s="4">
        <f>$B$23*AO25</f>
      </c>
      <c r="AP26" s="4">
        <f>$B$23*AP25</f>
      </c>
      <c r="AQ26" s="4">
        <f>$B$23*AQ25</f>
      </c>
      <c r="AR26" s="4">
        <f>$B$23*AR25</f>
      </c>
    </row>
    <row r="27" spans="1:44" x14ac:dyDescent="0.25">
      <c r="A27" t="s">
        <v>81</v>
      </c>
      <c r="B27" s="4">
        <f>B26</f>
      </c>
      <c r="C27" s="4">
        <f>B27+C26</f>
      </c>
      <c r="D27" s="4">
        <f>C27+D26</f>
      </c>
      <c r="E27" s="4">
        <f>D27+E26</f>
      </c>
      <c r="F27" s="4">
        <f>E27+F26</f>
      </c>
      <c r="G27" s="4">
        <f>F27+G26</f>
      </c>
      <c r="H27" s="4">
        <f>G27+H26</f>
      </c>
      <c r="I27" s="4">
        <f>H27+I26</f>
      </c>
      <c r="J27" s="4">
        <f>I27+J26</f>
      </c>
      <c r="K27" s="4">
        <f>J27+K26</f>
      </c>
      <c r="L27" s="4">
        <f>K27+L26</f>
      </c>
      <c r="M27" s="4">
        <f>L27+M26</f>
      </c>
      <c r="N27" s="4">
        <f>M27+N26</f>
      </c>
      <c r="O27" s="4">
        <f>N27+O26</f>
      </c>
      <c r="P27" s="4">
        <f>O27+P26</f>
      </c>
      <c r="Q27" s="4">
        <f>P27+Q26</f>
      </c>
      <c r="R27" s="4">
        <f>Q27+R26</f>
      </c>
      <c r="S27" s="4">
        <f>R27+S26</f>
      </c>
      <c r="T27" s="4">
        <f>S27+T26</f>
      </c>
      <c r="U27" s="4">
        <f>T27+U26</f>
      </c>
      <c r="V27" s="4">
        <f>U27+V26</f>
      </c>
      <c r="W27" s="4">
        <f>V27+W26</f>
      </c>
      <c r="X27" s="4">
        <f>W27+X26</f>
      </c>
      <c r="Y27" s="4">
        <f>X27+Y26</f>
      </c>
      <c r="Z27" s="4">
        <f>Y27+Z26</f>
      </c>
      <c r="AA27" s="4">
        <f>Z27+AA26</f>
      </c>
      <c r="AB27" s="4">
        <f>AA27+AB26</f>
      </c>
      <c r="AC27" s="4">
        <f>AB27+AC26</f>
      </c>
      <c r="AD27" s="4">
        <f>AC27+AD26</f>
      </c>
      <c r="AE27" s="4">
        <f>AD27+AE26</f>
      </c>
      <c r="AF27" s="4">
        <f>AE27+AF26</f>
      </c>
      <c r="AG27" s="4">
        <f>AF27+AG26</f>
      </c>
      <c r="AH27" s="4">
        <f>AG27+AH26</f>
      </c>
      <c r="AI27" s="4">
        <f>AH27+AI26</f>
      </c>
      <c r="AJ27" s="4">
        <f>AI27+AJ26</f>
      </c>
      <c r="AK27" s="4">
        <f>AJ27+AK26</f>
      </c>
      <c r="AL27" s="4">
        <f>AK27+AL26</f>
      </c>
      <c r="AM27" s="4">
        <f>AL27+AM26</f>
      </c>
      <c r="AN27" s="4">
        <f>AM27+AN26</f>
      </c>
      <c r="AO27" s="4">
        <f>AN27+AO26</f>
      </c>
      <c r="AP27" s="4">
        <f>AO27+AP26</f>
      </c>
      <c r="AQ27" s="4">
        <f>AP27+AQ26</f>
      </c>
      <c r="AR27" s="4">
        <f>AQ27+AR26</f>
      </c>
    </row>
    <row r="28" spans="1:44" x14ac:dyDescent="0.25">
      <c r="A28" t="s">
        <v>82</v>
      </c>
      <c r="B28" s="4">
        <f>IF(0&lt;'Parameters'!$B$5,0,MAX(0,MIN(B27*$B$24*B4,B27-0)))</f>
      </c>
      <c r="C28" s="4">
        <f>IF(1&lt;'Parameters'!$B$5,0,MAX(0,MIN(C27*$B$24*C4,C27-B29)))</f>
      </c>
      <c r="D28" s="4">
        <f>IF(2&lt;'Parameters'!$B$5,0,MAX(0,MIN(D27*$B$24*D4,D27-C29)))</f>
      </c>
      <c r="E28" s="4">
        <f>IF(3&lt;'Parameters'!$B$5,0,MAX(0,MIN(E27*$B$24*E4,E27-D29)))</f>
      </c>
      <c r="F28" s="4">
        <f>IF(4&lt;'Parameters'!$B$5,0,MAX(0,MIN(F27*$B$24*F4,F27-E29)))</f>
      </c>
      <c r="G28" s="4">
        <f>IF(5&lt;'Parameters'!$B$5,0,MAX(0,MIN(G27*$B$24*G4,G27-F29)))</f>
      </c>
      <c r="H28" s="4">
        <f>IF(6&lt;'Parameters'!$B$5,0,MAX(0,MIN(H27*$B$24*H4,H27-G29)))</f>
      </c>
      <c r="I28" s="4">
        <f>IF(7&lt;'Parameters'!$B$5,0,MAX(0,MIN(I27*$B$24*I4,I27-H29)))</f>
      </c>
      <c r="J28" s="4">
        <f>IF(8&lt;'Parameters'!$B$5,0,MAX(0,MIN(J27*$B$24*J4,J27-I29)))</f>
      </c>
      <c r="K28" s="4">
        <f>IF(9&lt;'Parameters'!$B$5,0,MAX(0,MIN(K27*$B$24*K4,K27-J29)))</f>
      </c>
      <c r="L28" s="4">
        <f>IF(10&lt;'Parameters'!$B$5,0,MAX(0,MIN(L27*$B$24*L4,L27-K29)))</f>
      </c>
      <c r="M28" s="4">
        <f>IF(11&lt;'Parameters'!$B$5,0,MAX(0,MIN(M27*$B$24*M4,M27-L29)))</f>
      </c>
      <c r="N28" s="4">
        <f>IF(12&lt;'Parameters'!$B$5,0,MAX(0,MIN(N27*$B$24*N4,N27-M29)))</f>
      </c>
      <c r="O28" s="4">
        <f>IF(13&lt;'Parameters'!$B$5,0,MAX(0,MIN(O27*$B$24*O4,O27-N29)))</f>
      </c>
      <c r="P28" s="4">
        <f>IF(14&lt;'Parameters'!$B$5,0,MAX(0,MIN(P27*$B$24*P4,P27-O29)))</f>
      </c>
      <c r="Q28" s="4">
        <f>IF(15&lt;'Parameters'!$B$5,0,MAX(0,MIN(Q27*$B$24*Q4,Q27-P29)))</f>
      </c>
      <c r="R28" s="4">
        <f>IF(16&lt;'Parameters'!$B$5,0,MAX(0,MIN(R27*$B$24*R4,R27-Q29)))</f>
      </c>
      <c r="S28" s="4">
        <f>IF(17&lt;'Parameters'!$B$5,0,MAX(0,MIN(S27*$B$24*S4,S27-R29)))</f>
      </c>
      <c r="T28" s="4">
        <f>IF(18&lt;'Parameters'!$B$5,0,MAX(0,MIN(T27*$B$24*T4,T27-S29)))</f>
      </c>
      <c r="U28" s="4">
        <f>IF(19&lt;'Parameters'!$B$5,0,MAX(0,MIN(U27*$B$24*U4,U27-T29)))</f>
      </c>
      <c r="V28" s="4">
        <f>IF(20&lt;'Parameters'!$B$5,0,MAX(0,MIN(V27*$B$24*V4,V27-U29)))</f>
      </c>
      <c r="W28" s="4">
        <f>IF(21&lt;'Parameters'!$B$5,0,MAX(0,MIN(W27*$B$24*W4,W27-V29)))</f>
      </c>
      <c r="X28" s="4">
        <f>IF(22&lt;'Parameters'!$B$5,0,MAX(0,MIN(X27*$B$24*X4,X27-W29)))</f>
      </c>
      <c r="Y28" s="4">
        <f>IF(23&lt;'Parameters'!$B$5,0,MAX(0,MIN(Y27*$B$24*Y4,Y27-X29)))</f>
      </c>
      <c r="Z28" s="4">
        <f>IF(24&lt;'Parameters'!$B$5,0,MAX(0,MIN(Z27*$B$24*Z4,Z27-Y29)))</f>
      </c>
      <c r="AA28" s="4">
        <f>IF(25&lt;'Parameters'!$B$5,0,MAX(0,MIN(AA27*$B$24*AA4,AA27-Z29)))</f>
      </c>
      <c r="AB28" s="4">
        <f>IF(26&lt;'Parameters'!$B$5,0,MAX(0,MIN(AB27*$B$24*AB4,AB27-AA29)))</f>
      </c>
      <c r="AC28" s="4">
        <f>IF(27&lt;'Parameters'!$B$5,0,MAX(0,MIN(AC27*$B$24*AC4,AC27-AB29)))</f>
      </c>
      <c r="AD28" s="4">
        <f>IF(28&lt;'Parameters'!$B$5,0,MAX(0,MIN(AD27*$B$24*AD4,AD27-AC29)))</f>
      </c>
      <c r="AE28" s="4">
        <f>IF(29&lt;'Parameters'!$B$5,0,MAX(0,MIN(AE27*$B$24*AE4,AE27-AD29)))</f>
      </c>
      <c r="AF28" s="4">
        <f>IF(30&lt;'Parameters'!$B$5,0,MAX(0,MIN(AF27*$B$24*AF4,AF27-AE29)))</f>
      </c>
      <c r="AG28" s="4">
        <f>IF(31&lt;'Parameters'!$B$5,0,MAX(0,MIN(AG27*$B$24*AG4,AG27-AF29)))</f>
      </c>
      <c r="AH28" s="4">
        <f>IF(32&lt;'Parameters'!$B$5,0,MAX(0,MIN(AH27*$B$24*AH4,AH27-AG29)))</f>
      </c>
      <c r="AI28" s="4">
        <f>IF(33&lt;'Parameters'!$B$5,0,MAX(0,MIN(AI27*$B$24*AI4,AI27-AH29)))</f>
      </c>
      <c r="AJ28" s="4">
        <f>IF(34&lt;'Parameters'!$B$5,0,MAX(0,MIN(AJ27*$B$24*AJ4,AJ27-AI29)))</f>
      </c>
      <c r="AK28" s="4">
        <f>IF(35&lt;'Parameters'!$B$5,0,MAX(0,MIN(AK27*$B$24*AK4,AK27-AJ29)))</f>
      </c>
      <c r="AL28" s="4">
        <f>IF(36&lt;'Parameters'!$B$5,0,MAX(0,MIN(AL27*$B$24*AL4,AL27-AK29)))</f>
      </c>
      <c r="AM28" s="4">
        <f>IF(37&lt;'Parameters'!$B$5,0,MAX(0,MIN(AM27*$B$24*AM4,AM27-AL29)))</f>
      </c>
      <c r="AN28" s="4">
        <f>IF(38&lt;'Parameters'!$B$5,0,MAX(0,MIN(AN27*$B$24*AN4,AN27-AM29)))</f>
      </c>
      <c r="AO28" s="4">
        <f>IF(39&lt;'Parameters'!$B$5,0,MAX(0,MIN(AO27*$B$24*AO4,AO27-AN29)))</f>
      </c>
      <c r="AP28" s="4">
        <f>IF(40&lt;'Parameters'!$B$5,0,MAX(0,MIN(AP27*$B$24*AP4,AP27-AO29)))</f>
      </c>
      <c r="AQ28" s="4">
        <f>IF(41&lt;'Parameters'!$B$5,0,MAX(0,MIN(AQ27*$B$24*AQ4,AQ27-AP29)))</f>
      </c>
      <c r="AR28" s="4">
        <f>IF(42&lt;'Parameters'!$B$5,0,MAX(0,MIN(AR27*$B$24*AR4,AR27-AQ29)))</f>
      </c>
    </row>
    <row r="29" spans="1:44" x14ac:dyDescent="0.25">
      <c r="A29" t="s">
        <v>83</v>
      </c>
      <c r="B29" s="4">
        <f>B28</f>
      </c>
      <c r="C29" s="4">
        <f>B29+C28</f>
      </c>
      <c r="D29" s="4">
        <f>C29+D28</f>
      </c>
      <c r="E29" s="4">
        <f>D29+E28</f>
      </c>
      <c r="F29" s="4">
        <f>E29+F28</f>
      </c>
      <c r="G29" s="4">
        <f>F29+G28</f>
      </c>
      <c r="H29" s="4">
        <f>G29+H28</f>
      </c>
      <c r="I29" s="4">
        <f>H29+I28</f>
      </c>
      <c r="J29" s="4">
        <f>I29+J28</f>
      </c>
      <c r="K29" s="4">
        <f>J29+K28</f>
      </c>
      <c r="L29" s="4">
        <f>K29+L28</f>
      </c>
      <c r="M29" s="4">
        <f>L29+M28</f>
      </c>
      <c r="N29" s="4">
        <f>M29+N28</f>
      </c>
      <c r="O29" s="4">
        <f>N29+O28</f>
      </c>
      <c r="P29" s="4">
        <f>O29+P28</f>
      </c>
      <c r="Q29" s="4">
        <f>P29+Q28</f>
      </c>
      <c r="R29" s="4">
        <f>Q29+R28</f>
      </c>
      <c r="S29" s="4">
        <f>R29+S28</f>
      </c>
      <c r="T29" s="4">
        <f>S29+T28</f>
      </c>
      <c r="U29" s="4">
        <f>T29+U28</f>
      </c>
      <c r="V29" s="4">
        <f>U29+V28</f>
      </c>
      <c r="W29" s="4">
        <f>V29+W28</f>
      </c>
      <c r="X29" s="4">
        <f>W29+X28</f>
      </c>
      <c r="Y29" s="4">
        <f>X29+Y28</f>
      </c>
      <c r="Z29" s="4">
        <f>Y29+Z28</f>
      </c>
      <c r="AA29" s="4">
        <f>Z29+AA28</f>
      </c>
      <c r="AB29" s="4">
        <f>AA29+AB28</f>
      </c>
      <c r="AC29" s="4">
        <f>AB29+AC28</f>
      </c>
      <c r="AD29" s="4">
        <f>AC29+AD28</f>
      </c>
      <c r="AE29" s="4">
        <f>AD29+AE28</f>
      </c>
      <c r="AF29" s="4">
        <f>AE29+AF28</f>
      </c>
      <c r="AG29" s="4">
        <f>AF29+AG28</f>
      </c>
      <c r="AH29" s="4">
        <f>AG29+AH28</f>
      </c>
      <c r="AI29" s="4">
        <f>AH29+AI28</f>
      </c>
      <c r="AJ29" s="4">
        <f>AI29+AJ28</f>
      </c>
      <c r="AK29" s="4">
        <f>AJ29+AK28</f>
      </c>
      <c r="AL29" s="4">
        <f>AK29+AL28</f>
      </c>
      <c r="AM29" s="4">
        <f>AL29+AM28</f>
      </c>
      <c r="AN29" s="4">
        <f>AM29+AN28</f>
      </c>
      <c r="AO29" s="4">
        <f>AN29+AO28</f>
      </c>
      <c r="AP29" s="4">
        <f>AO29+AP28</f>
      </c>
      <c r="AQ29" s="4">
        <f>AP29+AQ28</f>
      </c>
      <c r="AR29" s="4">
        <f>AQ29+AR28</f>
      </c>
    </row>
    <row r="31" spans="1:2" s="7" customFormat="1" x14ac:dyDescent="0.25">
      <c r="A31" s="7" t="s">
        <v>84</v>
      </c>
      <c r="B31" s="8">
        <v>1375000</v>
      </c>
    </row>
    <row r="32" spans="1:2" x14ac:dyDescent="0.25">
      <c r="A32" t="s">
        <v>85</v>
      </c>
      <c r="B32" s="9">
        <v>0</v>
      </c>
    </row>
    <row r="33" spans="1:44" x14ac:dyDescent="0.25">
      <c r="A33" t="s">
        <v>86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 spans="1:44" x14ac:dyDescent="0.25">
      <c r="A34" t="s">
        <v>87</v>
      </c>
      <c r="B34" s="4">
        <f>$B$31*B33</f>
      </c>
      <c r="C34" s="4">
        <f>$B$31*C33</f>
      </c>
      <c r="D34" s="4">
        <f>$B$31*D33</f>
      </c>
      <c r="E34" s="4">
        <f>$B$31*E33</f>
      </c>
      <c r="F34" s="4">
        <f>$B$31*F33</f>
      </c>
      <c r="G34" s="4">
        <f>$B$31*G33</f>
      </c>
      <c r="H34" s="4">
        <f>$B$31*H33</f>
      </c>
      <c r="I34" s="4">
        <f>$B$31*I33</f>
      </c>
      <c r="J34" s="4">
        <f>$B$31*J33</f>
      </c>
      <c r="K34" s="4">
        <f>$B$31*K33</f>
      </c>
      <c r="L34" s="4">
        <f>$B$31*L33</f>
      </c>
      <c r="M34" s="4">
        <f>$B$31*M33</f>
      </c>
      <c r="N34" s="4">
        <f>$B$31*N33</f>
      </c>
      <c r="O34" s="4">
        <f>$B$31*O33</f>
      </c>
      <c r="P34" s="4">
        <f>$B$31*P33</f>
      </c>
      <c r="Q34" s="4">
        <f>$B$31*Q33</f>
      </c>
      <c r="R34" s="4">
        <f>$B$31*R33</f>
      </c>
      <c r="S34" s="4">
        <f>$B$31*S33</f>
      </c>
      <c r="T34" s="4">
        <f>$B$31*T33</f>
      </c>
      <c r="U34" s="4">
        <f>$B$31*U33</f>
      </c>
      <c r="V34" s="4">
        <f>$B$31*V33</f>
      </c>
      <c r="W34" s="4">
        <f>$B$31*W33</f>
      </c>
      <c r="X34" s="4">
        <f>$B$31*X33</f>
      </c>
      <c r="Y34" s="4">
        <f>$B$31*Y33</f>
      </c>
      <c r="Z34" s="4">
        <f>$B$31*Z33</f>
      </c>
      <c r="AA34" s="4">
        <f>$B$31*AA33</f>
      </c>
      <c r="AB34" s="4">
        <f>$B$31*AB33</f>
      </c>
      <c r="AC34" s="4">
        <f>$B$31*AC33</f>
      </c>
      <c r="AD34" s="4">
        <f>$B$31*AD33</f>
      </c>
      <c r="AE34" s="4">
        <f>$B$31*AE33</f>
      </c>
      <c r="AF34" s="4">
        <f>$B$31*AF33</f>
      </c>
      <c r="AG34" s="4">
        <f>$B$31*AG33</f>
      </c>
      <c r="AH34" s="4">
        <f>$B$31*AH33</f>
      </c>
      <c r="AI34" s="4">
        <f>$B$31*AI33</f>
      </c>
      <c r="AJ34" s="4">
        <f>$B$31*AJ33</f>
      </c>
      <c r="AK34" s="4">
        <f>$B$31*AK33</f>
      </c>
      <c r="AL34" s="4">
        <f>$B$31*AL33</f>
      </c>
      <c r="AM34" s="4">
        <f>$B$31*AM33</f>
      </c>
      <c r="AN34" s="4">
        <f>$B$31*AN33</f>
      </c>
      <c r="AO34" s="4">
        <f>$B$31*AO33</f>
      </c>
      <c r="AP34" s="4">
        <f>$B$31*AP33</f>
      </c>
      <c r="AQ34" s="4">
        <f>$B$31*AQ33</f>
      </c>
      <c r="AR34" s="4">
        <f>$B$31*AR33</f>
      </c>
    </row>
    <row r="35" spans="1:44" x14ac:dyDescent="0.25">
      <c r="A35" t="s">
        <v>88</v>
      </c>
      <c r="B35" s="4">
        <f>B34</f>
      </c>
      <c r="C35" s="4">
        <f>B35+C34</f>
      </c>
      <c r="D35" s="4">
        <f>C35+D34</f>
      </c>
      <c r="E35" s="4">
        <f>D35+E34</f>
      </c>
      <c r="F35" s="4">
        <f>E35+F34</f>
      </c>
      <c r="G35" s="4">
        <f>F35+G34</f>
      </c>
      <c r="H35" s="4">
        <f>G35+H34</f>
      </c>
      <c r="I35" s="4">
        <f>H35+I34</f>
      </c>
      <c r="J35" s="4">
        <f>I35+J34</f>
      </c>
      <c r="K35" s="4">
        <f>J35+K34</f>
      </c>
      <c r="L35" s="4">
        <f>K35+L34</f>
      </c>
      <c r="M35" s="4">
        <f>L35+M34</f>
      </c>
      <c r="N35" s="4">
        <f>M35+N34</f>
      </c>
      <c r="O35" s="4">
        <f>N35+O34</f>
      </c>
      <c r="P35" s="4">
        <f>O35+P34</f>
      </c>
      <c r="Q35" s="4">
        <f>P35+Q34</f>
      </c>
      <c r="R35" s="4">
        <f>Q35+R34</f>
      </c>
      <c r="S35" s="4">
        <f>R35+S34</f>
      </c>
      <c r="T35" s="4">
        <f>S35+T34</f>
      </c>
      <c r="U35" s="4">
        <f>T35+U34</f>
      </c>
      <c r="V35" s="4">
        <f>U35+V34</f>
      </c>
      <c r="W35" s="4">
        <f>V35+W34</f>
      </c>
      <c r="X35" s="4">
        <f>W35+X34</f>
      </c>
      <c r="Y35" s="4">
        <f>X35+Y34</f>
      </c>
      <c r="Z35" s="4">
        <f>Y35+Z34</f>
      </c>
      <c r="AA35" s="4">
        <f>Z35+AA34</f>
      </c>
      <c r="AB35" s="4">
        <f>AA35+AB34</f>
      </c>
      <c r="AC35" s="4">
        <f>AB35+AC34</f>
      </c>
      <c r="AD35" s="4">
        <f>AC35+AD34</f>
      </c>
      <c r="AE35" s="4">
        <f>AD35+AE34</f>
      </c>
      <c r="AF35" s="4">
        <f>AE35+AF34</f>
      </c>
      <c r="AG35" s="4">
        <f>AF35+AG34</f>
      </c>
      <c r="AH35" s="4">
        <f>AG35+AH34</f>
      </c>
      <c r="AI35" s="4">
        <f>AH35+AI34</f>
      </c>
      <c r="AJ35" s="4">
        <f>AI35+AJ34</f>
      </c>
      <c r="AK35" s="4">
        <f>AJ35+AK34</f>
      </c>
      <c r="AL35" s="4">
        <f>AK35+AL34</f>
      </c>
      <c r="AM35" s="4">
        <f>AL35+AM34</f>
      </c>
      <c r="AN35" s="4">
        <f>AM35+AN34</f>
      </c>
      <c r="AO35" s="4">
        <f>AN35+AO34</f>
      </c>
      <c r="AP35" s="4">
        <f>AO35+AP34</f>
      </c>
      <c r="AQ35" s="4">
        <f>AP35+AQ34</f>
      </c>
      <c r="AR35" s="4">
        <f>AQ35+AR34</f>
      </c>
    </row>
    <row r="36" spans="1:44" x14ac:dyDescent="0.25">
      <c r="A36" t="s">
        <v>89</v>
      </c>
      <c r="B36" s="4">
        <f>IF(0&lt;'Parameters'!$B$5,0,MAX(0,MIN(B35*$B$32*B4,B35-0)))</f>
      </c>
      <c r="C36" s="4">
        <f>IF(1&lt;'Parameters'!$B$5,0,MAX(0,MIN(C35*$B$32*C4,C35-B37)))</f>
      </c>
      <c r="D36" s="4">
        <f>IF(2&lt;'Parameters'!$B$5,0,MAX(0,MIN(D35*$B$32*D4,D35-C37)))</f>
      </c>
      <c r="E36" s="4">
        <f>IF(3&lt;'Parameters'!$B$5,0,MAX(0,MIN(E35*$B$32*E4,E35-D37)))</f>
      </c>
      <c r="F36" s="4">
        <f>IF(4&lt;'Parameters'!$B$5,0,MAX(0,MIN(F35*$B$32*F4,F35-E37)))</f>
      </c>
      <c r="G36" s="4">
        <f>IF(5&lt;'Parameters'!$B$5,0,MAX(0,MIN(G35*$B$32*G4,G35-F37)))</f>
      </c>
      <c r="H36" s="4">
        <f>IF(6&lt;'Parameters'!$B$5,0,MAX(0,MIN(H35*$B$32*H4,H35-G37)))</f>
      </c>
      <c r="I36" s="4">
        <f>IF(7&lt;'Parameters'!$B$5,0,MAX(0,MIN(I35*$B$32*I4,I35-H37)))</f>
      </c>
      <c r="J36" s="4">
        <f>IF(8&lt;'Parameters'!$B$5,0,MAX(0,MIN(J35*$B$32*J4,J35-I37)))</f>
      </c>
      <c r="K36" s="4">
        <f>IF(9&lt;'Parameters'!$B$5,0,MAX(0,MIN(K35*$B$32*K4,K35-J37)))</f>
      </c>
      <c r="L36" s="4">
        <f>IF(10&lt;'Parameters'!$B$5,0,MAX(0,MIN(L35*$B$32*L4,L35-K37)))</f>
      </c>
      <c r="M36" s="4">
        <f>IF(11&lt;'Parameters'!$B$5,0,MAX(0,MIN(M35*$B$32*M4,M35-L37)))</f>
      </c>
      <c r="N36" s="4">
        <f>IF(12&lt;'Parameters'!$B$5,0,MAX(0,MIN(N35*$B$32*N4,N35-M37)))</f>
      </c>
      <c r="O36" s="4">
        <f>IF(13&lt;'Parameters'!$B$5,0,MAX(0,MIN(O35*$B$32*O4,O35-N37)))</f>
      </c>
      <c r="P36" s="4">
        <f>IF(14&lt;'Parameters'!$B$5,0,MAX(0,MIN(P35*$B$32*P4,P35-O37)))</f>
      </c>
      <c r="Q36" s="4">
        <f>IF(15&lt;'Parameters'!$B$5,0,MAX(0,MIN(Q35*$B$32*Q4,Q35-P37)))</f>
      </c>
      <c r="R36" s="4">
        <f>IF(16&lt;'Parameters'!$B$5,0,MAX(0,MIN(R35*$B$32*R4,R35-Q37)))</f>
      </c>
      <c r="S36" s="4">
        <f>IF(17&lt;'Parameters'!$B$5,0,MAX(0,MIN(S35*$B$32*S4,S35-R37)))</f>
      </c>
      <c r="T36" s="4">
        <f>IF(18&lt;'Parameters'!$B$5,0,MAX(0,MIN(T35*$B$32*T4,T35-S37)))</f>
      </c>
      <c r="U36" s="4">
        <f>IF(19&lt;'Parameters'!$B$5,0,MAX(0,MIN(U35*$B$32*U4,U35-T37)))</f>
      </c>
      <c r="V36" s="4">
        <f>IF(20&lt;'Parameters'!$B$5,0,MAX(0,MIN(V35*$B$32*V4,V35-U37)))</f>
      </c>
      <c r="W36" s="4">
        <f>IF(21&lt;'Parameters'!$B$5,0,MAX(0,MIN(W35*$B$32*W4,W35-V37)))</f>
      </c>
      <c r="X36" s="4">
        <f>IF(22&lt;'Parameters'!$B$5,0,MAX(0,MIN(X35*$B$32*X4,X35-W37)))</f>
      </c>
      <c r="Y36" s="4">
        <f>IF(23&lt;'Parameters'!$B$5,0,MAX(0,MIN(Y35*$B$32*Y4,Y35-X37)))</f>
      </c>
      <c r="Z36" s="4">
        <f>IF(24&lt;'Parameters'!$B$5,0,MAX(0,MIN(Z35*$B$32*Z4,Z35-Y37)))</f>
      </c>
      <c r="AA36" s="4">
        <f>IF(25&lt;'Parameters'!$B$5,0,MAX(0,MIN(AA35*$B$32*AA4,AA35-Z37)))</f>
      </c>
      <c r="AB36" s="4">
        <f>IF(26&lt;'Parameters'!$B$5,0,MAX(0,MIN(AB35*$B$32*AB4,AB35-AA37)))</f>
      </c>
      <c r="AC36" s="4">
        <f>IF(27&lt;'Parameters'!$B$5,0,MAX(0,MIN(AC35*$B$32*AC4,AC35-AB37)))</f>
      </c>
      <c r="AD36" s="4">
        <f>IF(28&lt;'Parameters'!$B$5,0,MAX(0,MIN(AD35*$B$32*AD4,AD35-AC37)))</f>
      </c>
      <c r="AE36" s="4">
        <f>IF(29&lt;'Parameters'!$B$5,0,MAX(0,MIN(AE35*$B$32*AE4,AE35-AD37)))</f>
      </c>
      <c r="AF36" s="4">
        <f>IF(30&lt;'Parameters'!$B$5,0,MAX(0,MIN(AF35*$B$32*AF4,AF35-AE37)))</f>
      </c>
      <c r="AG36" s="4">
        <f>IF(31&lt;'Parameters'!$B$5,0,MAX(0,MIN(AG35*$B$32*AG4,AG35-AF37)))</f>
      </c>
      <c r="AH36" s="4">
        <f>IF(32&lt;'Parameters'!$B$5,0,MAX(0,MIN(AH35*$B$32*AH4,AH35-AG37)))</f>
      </c>
      <c r="AI36" s="4">
        <f>IF(33&lt;'Parameters'!$B$5,0,MAX(0,MIN(AI35*$B$32*AI4,AI35-AH37)))</f>
      </c>
      <c r="AJ36" s="4">
        <f>IF(34&lt;'Parameters'!$B$5,0,MAX(0,MIN(AJ35*$B$32*AJ4,AJ35-AI37)))</f>
      </c>
      <c r="AK36" s="4">
        <f>IF(35&lt;'Parameters'!$B$5,0,MAX(0,MIN(AK35*$B$32*AK4,AK35-AJ37)))</f>
      </c>
      <c r="AL36" s="4">
        <f>IF(36&lt;'Parameters'!$B$5,0,MAX(0,MIN(AL35*$B$32*AL4,AL35-AK37)))</f>
      </c>
      <c r="AM36" s="4">
        <f>IF(37&lt;'Parameters'!$B$5,0,MAX(0,MIN(AM35*$B$32*AM4,AM35-AL37)))</f>
      </c>
      <c r="AN36" s="4">
        <f>IF(38&lt;'Parameters'!$B$5,0,MAX(0,MIN(AN35*$B$32*AN4,AN35-AM37)))</f>
      </c>
      <c r="AO36" s="4">
        <f>IF(39&lt;'Parameters'!$B$5,0,MAX(0,MIN(AO35*$B$32*AO4,AO35-AN37)))</f>
      </c>
      <c r="AP36" s="4">
        <f>IF(40&lt;'Parameters'!$B$5,0,MAX(0,MIN(AP35*$B$32*AP4,AP35-AO37)))</f>
      </c>
      <c r="AQ36" s="4">
        <f>IF(41&lt;'Parameters'!$B$5,0,MAX(0,MIN(AQ35*$B$32*AQ4,AQ35-AP37)))</f>
      </c>
      <c r="AR36" s="4">
        <f>IF(42&lt;'Parameters'!$B$5,0,MAX(0,MIN(AR35*$B$32*AR4,AR35-AQ37)))</f>
      </c>
    </row>
    <row r="37" spans="1:44" x14ac:dyDescent="0.25">
      <c r="A37" t="s">
        <v>90</v>
      </c>
      <c r="B37" s="4">
        <f>B36</f>
      </c>
      <c r="C37" s="4">
        <f>B37+C36</f>
      </c>
      <c r="D37" s="4">
        <f>C37+D36</f>
      </c>
      <c r="E37" s="4">
        <f>D37+E36</f>
      </c>
      <c r="F37" s="4">
        <f>E37+F36</f>
      </c>
      <c r="G37" s="4">
        <f>F37+G36</f>
      </c>
      <c r="H37" s="4">
        <f>G37+H36</f>
      </c>
      <c r="I37" s="4">
        <f>H37+I36</f>
      </c>
      <c r="J37" s="4">
        <f>I37+J36</f>
      </c>
      <c r="K37" s="4">
        <f>J37+K36</f>
      </c>
      <c r="L37" s="4">
        <f>K37+L36</f>
      </c>
      <c r="M37" s="4">
        <f>L37+M36</f>
      </c>
      <c r="N37" s="4">
        <f>M37+N36</f>
      </c>
      <c r="O37" s="4">
        <f>N37+O36</f>
      </c>
      <c r="P37" s="4">
        <f>O37+P36</f>
      </c>
      <c r="Q37" s="4">
        <f>P37+Q36</f>
      </c>
      <c r="R37" s="4">
        <f>Q37+R36</f>
      </c>
      <c r="S37" s="4">
        <f>R37+S36</f>
      </c>
      <c r="T37" s="4">
        <f>S37+T36</f>
      </c>
      <c r="U37" s="4">
        <f>T37+U36</f>
      </c>
      <c r="V37" s="4">
        <f>U37+V36</f>
      </c>
      <c r="W37" s="4">
        <f>V37+W36</f>
      </c>
      <c r="X37" s="4">
        <f>W37+X36</f>
      </c>
      <c r="Y37" s="4">
        <f>X37+Y36</f>
      </c>
      <c r="Z37" s="4">
        <f>Y37+Z36</f>
      </c>
      <c r="AA37" s="4">
        <f>Z37+AA36</f>
      </c>
      <c r="AB37" s="4">
        <f>AA37+AB36</f>
      </c>
      <c r="AC37" s="4">
        <f>AB37+AC36</f>
      </c>
      <c r="AD37" s="4">
        <f>AC37+AD36</f>
      </c>
      <c r="AE37" s="4">
        <f>AD37+AE36</f>
      </c>
      <c r="AF37" s="4">
        <f>AE37+AF36</f>
      </c>
      <c r="AG37" s="4">
        <f>AF37+AG36</f>
      </c>
      <c r="AH37" s="4">
        <f>AG37+AH36</f>
      </c>
      <c r="AI37" s="4">
        <f>AH37+AI36</f>
      </c>
      <c r="AJ37" s="4">
        <f>AI37+AJ36</f>
      </c>
      <c r="AK37" s="4">
        <f>AJ37+AK36</f>
      </c>
      <c r="AL37" s="4">
        <f>AK37+AL36</f>
      </c>
      <c r="AM37" s="4">
        <f>AL37+AM36</f>
      </c>
      <c r="AN37" s="4">
        <f>AM37+AN36</f>
      </c>
      <c r="AO37" s="4">
        <f>AN37+AO36</f>
      </c>
      <c r="AP37" s="4">
        <f>AO37+AP36</f>
      </c>
      <c r="AQ37" s="4">
        <f>AP37+AQ36</f>
      </c>
      <c r="AR37" s="4">
        <f>AQ37+AR36</f>
      </c>
    </row>
    <row r="39" spans="1:44" x14ac:dyDescent="0.25">
      <c r="A39" s="10" t="s">
        <v>91</v>
      </c>
      <c r="B39" s="11">
        <f>B10+B18+B26+B34</f>
      </c>
      <c r="C39" s="11">
        <f>C10+C18+C26+C34</f>
      </c>
      <c r="D39" s="11">
        <f>D10+D18+D26+D34</f>
      </c>
      <c r="E39" s="11">
        <f>E10+E18+E26+E34</f>
      </c>
      <c r="F39" s="11">
        <f>F10+F18+F26+F34</f>
      </c>
      <c r="G39" s="11">
        <f>G10+G18+G26+G34</f>
      </c>
      <c r="H39" s="11">
        <f>H10+H18+H26+H34</f>
      </c>
      <c r="I39" s="11">
        <f>I10+I18+I26+I34</f>
      </c>
      <c r="J39" s="11">
        <f>J10+J18+J26+J34</f>
      </c>
      <c r="K39" s="11">
        <f>K10+K18+K26+K34</f>
      </c>
      <c r="L39" s="11">
        <f>L10+L18+L26+L34</f>
      </c>
      <c r="M39" s="11">
        <f>M10+M18+M26+M34</f>
      </c>
      <c r="N39" s="11">
        <f>N10+N18+N26+N34</f>
      </c>
      <c r="O39" s="11">
        <f>O10+O18+O26+O34</f>
      </c>
      <c r="P39" s="11">
        <f>P10+P18+P26+P34</f>
      </c>
      <c r="Q39" s="11">
        <f>Q10+Q18+Q26+Q34</f>
      </c>
      <c r="R39" s="11">
        <f>R10+R18+R26+R34</f>
      </c>
      <c r="S39" s="11">
        <f>S10+S18+S26+S34</f>
      </c>
      <c r="T39" s="11">
        <f>T10+T18+T26+T34</f>
      </c>
      <c r="U39" s="11">
        <f>U10+U18+U26+U34</f>
      </c>
      <c r="V39" s="11">
        <f>V10+V18+V26+V34</f>
      </c>
      <c r="W39" s="11">
        <f>W10+W18+W26+W34</f>
      </c>
      <c r="X39" s="11">
        <f>X10+X18+X26+X34</f>
      </c>
      <c r="Y39" s="11">
        <f>Y10+Y18+Y26+Y34</f>
      </c>
      <c r="Z39" s="11">
        <f>Z10+Z18+Z26+Z34</f>
      </c>
      <c r="AA39" s="11">
        <f>AA10+AA18+AA26+AA34</f>
      </c>
      <c r="AB39" s="11">
        <f>AB10+AB18+AB26+AB34</f>
      </c>
      <c r="AC39" s="11">
        <f>AC10+AC18+AC26+AC34</f>
      </c>
      <c r="AD39" s="11">
        <f>AD10+AD18+AD26+AD34</f>
      </c>
      <c r="AE39" s="11">
        <f>AE10+AE18+AE26+AE34</f>
      </c>
      <c r="AF39" s="11">
        <f>AF10+AF18+AF26+AF34</f>
      </c>
      <c r="AG39" s="11">
        <f>AG10+AG18+AG26+AG34</f>
      </c>
      <c r="AH39" s="11">
        <f>AH10+AH18+AH26+AH34</f>
      </c>
      <c r="AI39" s="11">
        <f>AI10+AI18+AI26+AI34</f>
      </c>
      <c r="AJ39" s="11">
        <f>AJ10+AJ18+AJ26+AJ34</f>
      </c>
      <c r="AK39" s="11">
        <f>AK10+AK18+AK26+AK34</f>
      </c>
      <c r="AL39" s="11">
        <f>AL10+AL18+AL26+AL34</f>
      </c>
      <c r="AM39" s="11">
        <f>AM10+AM18+AM26+AM34</f>
      </c>
      <c r="AN39" s="11">
        <f>AN10+AN18+AN26+AN34</f>
      </c>
      <c r="AO39" s="11">
        <f>AO10+AO18+AO26+AO34</f>
      </c>
      <c r="AP39" s="11">
        <f>AP10+AP18+AP26+AP34</f>
      </c>
      <c r="AQ39" s="11">
        <f>AQ10+AQ18+AQ26+AQ34</f>
      </c>
      <c r="AR39" s="11">
        <f>AR10+AR18+AR26+AR34</f>
      </c>
    </row>
    <row r="40" spans="1:44" x14ac:dyDescent="0.25">
      <c r="A40" s="10" t="s">
        <v>92</v>
      </c>
      <c r="B40" s="11">
        <f>B39</f>
      </c>
      <c r="C40" s="11">
        <f>B40+C39</f>
      </c>
      <c r="D40" s="11">
        <f>C40+D39</f>
      </c>
      <c r="E40" s="11">
        <f>D40+E39</f>
      </c>
      <c r="F40" s="11">
        <f>E40+F39</f>
      </c>
      <c r="G40" s="11">
        <f>F40+G39</f>
      </c>
      <c r="H40" s="11">
        <f>G40+H39</f>
      </c>
      <c r="I40" s="11">
        <f>H40+I39</f>
      </c>
      <c r="J40" s="11">
        <f>I40+J39</f>
      </c>
      <c r="K40" s="11">
        <f>J40+K39</f>
      </c>
      <c r="L40" s="11">
        <f>K40+L39</f>
      </c>
      <c r="M40" s="11">
        <f>L40+M39</f>
      </c>
      <c r="N40" s="11">
        <f>M40+N39</f>
      </c>
      <c r="O40" s="11">
        <f>N40+O39</f>
      </c>
      <c r="P40" s="11">
        <f>O40+P39</f>
      </c>
      <c r="Q40" s="11">
        <f>P40+Q39</f>
      </c>
      <c r="R40" s="11">
        <f>Q40+R39</f>
      </c>
      <c r="S40" s="11">
        <f>R40+S39</f>
      </c>
      <c r="T40" s="11">
        <f>S40+T39</f>
      </c>
      <c r="U40" s="11">
        <f>T40+U39</f>
      </c>
      <c r="V40" s="11">
        <f>U40+V39</f>
      </c>
      <c r="W40" s="11">
        <f>V40+W39</f>
      </c>
      <c r="X40" s="11">
        <f>W40+X39</f>
      </c>
      <c r="Y40" s="11">
        <f>X40+Y39</f>
      </c>
      <c r="Z40" s="11">
        <f>Y40+Z39</f>
      </c>
      <c r="AA40" s="11">
        <f>Z40+AA39</f>
      </c>
      <c r="AB40" s="11">
        <f>AA40+AB39</f>
      </c>
      <c r="AC40" s="11">
        <f>AB40+AC39</f>
      </c>
      <c r="AD40" s="11">
        <f>AC40+AD39</f>
      </c>
      <c r="AE40" s="11">
        <f>AD40+AE39</f>
      </c>
      <c r="AF40" s="11">
        <f>AE40+AF39</f>
      </c>
      <c r="AG40" s="11">
        <f>AF40+AG39</f>
      </c>
      <c r="AH40" s="11">
        <f>AG40+AH39</f>
      </c>
      <c r="AI40" s="11">
        <f>AH40+AI39</f>
      </c>
      <c r="AJ40" s="11">
        <f>AI40+AJ39</f>
      </c>
      <c r="AK40" s="11">
        <f>AJ40+AK39</f>
      </c>
      <c r="AL40" s="11">
        <f>AK40+AL39</f>
      </c>
      <c r="AM40" s="11">
        <f>AL40+AM39</f>
      </c>
      <c r="AN40" s="11">
        <f>AM40+AN39</f>
      </c>
      <c r="AO40" s="11">
        <f>AN40+AO39</f>
      </c>
      <c r="AP40" s="11">
        <f>AO40+AP39</f>
      </c>
      <c r="AQ40" s="11">
        <f>AP40+AQ39</f>
      </c>
      <c r="AR40" s="11">
        <f>AQ40+AR39</f>
      </c>
    </row>
    <row r="41" spans="1:44" x14ac:dyDescent="0.25">
      <c r="A41" s="10" t="s">
        <v>93</v>
      </c>
      <c r="B41" s="11">
        <f>B12+B20+B28+B36</f>
      </c>
      <c r="C41" s="11">
        <f>C12+C20+C28+C36</f>
      </c>
      <c r="D41" s="11">
        <f>D12+D20+D28+D36</f>
      </c>
      <c r="E41" s="11">
        <f>E12+E20+E28+E36</f>
      </c>
      <c r="F41" s="11">
        <f>F12+F20+F28+F36</f>
      </c>
      <c r="G41" s="11">
        <f>G12+G20+G28+G36</f>
      </c>
      <c r="H41" s="11">
        <f>H12+H20+H28+H36</f>
      </c>
      <c r="I41" s="11">
        <f>I12+I20+I28+I36</f>
      </c>
      <c r="J41" s="11">
        <f>J12+J20+J28+J36</f>
      </c>
      <c r="K41" s="11">
        <f>K12+K20+K28+K36</f>
      </c>
      <c r="L41" s="11">
        <f>L12+L20+L28+L36</f>
      </c>
      <c r="M41" s="11">
        <f>M12+M20+M28+M36</f>
      </c>
      <c r="N41" s="11">
        <f>N12+N20+N28+N36</f>
      </c>
      <c r="O41" s="11">
        <f>O12+O20+O28+O36</f>
      </c>
      <c r="P41" s="11">
        <f>P12+P20+P28+P36</f>
      </c>
      <c r="Q41" s="11">
        <f>Q12+Q20+Q28+Q36</f>
      </c>
      <c r="R41" s="11">
        <f>R12+R20+R28+R36</f>
      </c>
      <c r="S41" s="11">
        <f>S12+S20+S28+S36</f>
      </c>
      <c r="T41" s="11">
        <f>T12+T20+T28+T36</f>
      </c>
      <c r="U41" s="11">
        <f>U12+U20+U28+U36</f>
      </c>
      <c r="V41" s="11">
        <f>V12+V20+V28+V36</f>
      </c>
      <c r="W41" s="11">
        <f>W12+W20+W28+W36</f>
      </c>
      <c r="X41" s="11">
        <f>X12+X20+X28+X36</f>
      </c>
      <c r="Y41" s="11">
        <f>Y12+Y20+Y28+Y36</f>
      </c>
      <c r="Z41" s="11">
        <f>Z12+Z20+Z28+Z36</f>
      </c>
      <c r="AA41" s="11">
        <f>AA12+AA20+AA28+AA36</f>
      </c>
      <c r="AB41" s="11">
        <f>AB12+AB20+AB28+AB36</f>
      </c>
      <c r="AC41" s="11">
        <f>AC12+AC20+AC28+AC36</f>
      </c>
      <c r="AD41" s="11">
        <f>AD12+AD20+AD28+AD36</f>
      </c>
      <c r="AE41" s="11">
        <f>AE12+AE20+AE28+AE36</f>
      </c>
      <c r="AF41" s="11">
        <f>AF12+AF20+AF28+AF36</f>
      </c>
      <c r="AG41" s="11">
        <f>AG12+AG20+AG28+AG36</f>
      </c>
      <c r="AH41" s="11">
        <f>AH12+AH20+AH28+AH36</f>
      </c>
      <c r="AI41" s="11">
        <f>AI12+AI20+AI28+AI36</f>
      </c>
      <c r="AJ41" s="11">
        <f>AJ12+AJ20+AJ28+AJ36</f>
      </c>
      <c r="AK41" s="11">
        <f>AK12+AK20+AK28+AK36</f>
      </c>
      <c r="AL41" s="11">
        <f>AL12+AL20+AL28+AL36</f>
      </c>
      <c r="AM41" s="11">
        <f>AM12+AM20+AM28+AM36</f>
      </c>
      <c r="AN41" s="11">
        <f>AN12+AN20+AN28+AN36</f>
      </c>
      <c r="AO41" s="11">
        <f>AO12+AO20+AO28+AO36</f>
      </c>
      <c r="AP41" s="11">
        <f>AP12+AP20+AP28+AP36</f>
      </c>
      <c r="AQ41" s="11">
        <f>AQ12+AQ20+AQ28+AQ36</f>
      </c>
      <c r="AR41" s="11">
        <f>AR12+AR20+AR28+AR36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FormatPr defaultRowHeight="15" outlineLevelRow="0" outlineLevelCol="0" x14ac:dyDescent="55"/>
  <cols>
    <col min="1" max="1" width="42" customWidth="1"/>
    <col min="2" max="44" width="13" customWidth="1"/>
  </cols>
  <sheetData>
    <row r="1" spans="1:1" s="1" customFormat="1" x14ac:dyDescent="0.25">
      <c r="A1" s="1" t="s">
        <v>94</v>
      </c>
    </row>
    <row r="3" spans="1:11" x14ac:dyDescent="0.25">
      <c r="A3" s="6" t="s">
        <v>95</v>
      </c>
      <c r="B3" s="6" t="s">
        <v>96</v>
      </c>
      <c r="C3" s="6" t="s">
        <v>97</v>
      </c>
      <c r="D3" s="6" t="s">
        <v>98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</row>
    <row r="4" spans="1:11" x14ac:dyDescent="0.25">
      <c r="A4" t="s">
        <v>99</v>
      </c>
      <c r="B4" s="12">
        <v>688.8469</v>
      </c>
      <c r="C4" s="12">
        <v>688.8469</v>
      </c>
      <c r="D4" s="12">
        <v>688.8469</v>
      </c>
      <c r="E4" s="12">
        <v>688.8469</v>
      </c>
      <c r="F4" s="12">
        <v>688.8469</v>
      </c>
      <c r="G4" s="12">
        <v>688.8469</v>
      </c>
      <c r="H4" s="12">
        <v>688.8469</v>
      </c>
      <c r="I4" s="12">
        <v>688.8469</v>
      </c>
      <c r="J4" s="12">
        <v>688.8469</v>
      </c>
      <c r="K4" s="12">
        <v>688.8469</v>
      </c>
    </row>
    <row r="5" spans="1:11" x14ac:dyDescent="0.25">
      <c r="A5" t="s">
        <v>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</row>
    <row r="6" spans="1:11" x14ac:dyDescent="0.25">
      <c r="A6" t="s">
        <v>101</v>
      </c>
      <c r="B6">
        <v>1840</v>
      </c>
      <c r="C6">
        <v>1840</v>
      </c>
      <c r="D6">
        <v>1840</v>
      </c>
      <c r="E6">
        <v>1840</v>
      </c>
      <c r="F6">
        <v>1840</v>
      </c>
      <c r="G6">
        <v>1840</v>
      </c>
      <c r="H6">
        <v>1840</v>
      </c>
      <c r="I6">
        <v>1840</v>
      </c>
      <c r="J6">
        <v>1840</v>
      </c>
      <c r="K6">
        <v>1840</v>
      </c>
    </row>
    <row r="7" spans="1:11" x14ac:dyDescent="0.25">
      <c r="A7" t="s">
        <v>102</v>
      </c>
      <c r="B7">
        <v>2000</v>
      </c>
      <c r="C7">
        <v>2000</v>
      </c>
      <c r="D7">
        <v>2000</v>
      </c>
      <c r="E7">
        <v>2000</v>
      </c>
      <c r="F7">
        <v>2000</v>
      </c>
      <c r="G7">
        <v>2000</v>
      </c>
      <c r="H7">
        <v>2000</v>
      </c>
      <c r="I7">
        <v>2000</v>
      </c>
      <c r="J7">
        <v>2000</v>
      </c>
      <c r="K7">
        <v>2000</v>
      </c>
    </row>
    <row r="8" spans="1:11" x14ac:dyDescent="0.25">
      <c r="A8" t="s">
        <v>103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</row>
    <row r="9" spans="1:11" x14ac:dyDescent="0.25">
      <c r="A9" t="s">
        <v>104</v>
      </c>
      <c r="B9">
        <v>210</v>
      </c>
      <c r="C9">
        <v>210</v>
      </c>
      <c r="D9">
        <v>210</v>
      </c>
      <c r="E9">
        <v>210</v>
      </c>
      <c r="F9">
        <v>210</v>
      </c>
      <c r="G9">
        <v>210</v>
      </c>
      <c r="H9">
        <v>210</v>
      </c>
      <c r="I9">
        <v>210</v>
      </c>
      <c r="J9">
        <v>210</v>
      </c>
      <c r="K9">
        <v>210</v>
      </c>
    </row>
    <row r="10" spans="1:11" x14ac:dyDescent="0.25">
      <c r="A10" t="s">
        <v>105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106</v>
      </c>
      <c r="B11" s="12">
        <v>180.2806</v>
      </c>
      <c r="C11" s="12">
        <v>180.2806</v>
      </c>
      <c r="D11" s="12">
        <v>180.2806</v>
      </c>
      <c r="E11" s="12">
        <v>180.2806</v>
      </c>
      <c r="F11" s="12">
        <v>180.2806</v>
      </c>
      <c r="G11" s="12">
        <v>180.2806</v>
      </c>
      <c r="H11" s="12">
        <v>180.2806</v>
      </c>
      <c r="I11" s="12">
        <v>180.2806</v>
      </c>
      <c r="J11" s="12">
        <v>180.2806</v>
      </c>
      <c r="K11" s="12">
        <v>180.2806</v>
      </c>
    </row>
    <row r="12" spans="1:11" x14ac:dyDescent="0.25">
      <c r="A12" t="s">
        <v>107</v>
      </c>
      <c r="B12" s="12">
        <v>3670</v>
      </c>
      <c r="C12" s="12">
        <v>3670</v>
      </c>
      <c r="D12" s="12">
        <v>3670</v>
      </c>
      <c r="E12" s="12">
        <v>3670</v>
      </c>
      <c r="F12" s="12">
        <v>3670</v>
      </c>
      <c r="G12" s="12">
        <v>3670</v>
      </c>
      <c r="H12" s="12">
        <v>3670</v>
      </c>
      <c r="I12" s="12">
        <v>3670</v>
      </c>
      <c r="J12" s="12">
        <v>3670</v>
      </c>
      <c r="K12" s="12">
        <v>3670</v>
      </c>
    </row>
    <row r="13" spans="1:11" x14ac:dyDescent="0.25">
      <c r="A13" t="s">
        <v>108</v>
      </c>
      <c r="B13" s="12">
        <v>360</v>
      </c>
      <c r="C13" s="12">
        <v>360</v>
      </c>
      <c r="D13" s="12">
        <v>360</v>
      </c>
      <c r="E13" s="12">
        <v>360</v>
      </c>
      <c r="F13" s="12">
        <v>360</v>
      </c>
      <c r="G13" s="12">
        <v>360</v>
      </c>
      <c r="H13" s="12">
        <v>360</v>
      </c>
      <c r="I13" s="12">
        <v>360</v>
      </c>
      <c r="J13" s="12">
        <v>360</v>
      </c>
      <c r="K13" s="12">
        <v>360</v>
      </c>
    </row>
    <row r="14" spans="1:11" x14ac:dyDescent="0.25">
      <c r="A14" t="s">
        <v>109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</row>
    <row r="15" spans="1:11" x14ac:dyDescent="0.25">
      <c r="A15" t="s">
        <v>110</v>
      </c>
      <c r="B15" s="13">
        <v>0.1088692</v>
      </c>
      <c r="C15" s="13">
        <v>0.1088692</v>
      </c>
      <c r="D15" s="13">
        <v>0.1088692</v>
      </c>
      <c r="E15" s="13">
        <v>0.1088692</v>
      </c>
      <c r="F15" s="13">
        <v>0.1088692</v>
      </c>
      <c r="G15" s="13">
        <v>0.1088692</v>
      </c>
      <c r="H15" s="13">
        <v>0.1088692</v>
      </c>
      <c r="I15" s="13">
        <v>0.1088692</v>
      </c>
      <c r="J15" s="13">
        <v>0.1088692</v>
      </c>
      <c r="K15" s="13">
        <v>0.1088692</v>
      </c>
    </row>
    <row r="16" spans="1:11" x14ac:dyDescent="0.25">
      <c r="A16" t="s">
        <v>111</v>
      </c>
      <c r="B16" s="12">
        <v>138.53</v>
      </c>
      <c r="C16" s="12">
        <v>138.53</v>
      </c>
      <c r="D16" s="12">
        <v>138.53</v>
      </c>
      <c r="E16" s="12">
        <v>138.53</v>
      </c>
      <c r="F16" s="12">
        <v>138.53</v>
      </c>
      <c r="G16" s="12">
        <v>138.53</v>
      </c>
      <c r="H16" s="12">
        <v>138.53</v>
      </c>
      <c r="I16" s="12">
        <v>138.53</v>
      </c>
      <c r="J16" s="12">
        <v>138.53</v>
      </c>
      <c r="K16" s="12">
        <v>138.53</v>
      </c>
    </row>
    <row r="17" spans="1:11" x14ac:dyDescent="0.25">
      <c r="A17" t="s">
        <v>112</v>
      </c>
      <c r="B17" s="13">
        <v>0.075</v>
      </c>
      <c r="C17" s="13">
        <v>0.075</v>
      </c>
      <c r="D17" s="13">
        <v>0.075</v>
      </c>
      <c r="E17" s="13">
        <v>0.075</v>
      </c>
      <c r="F17" s="13">
        <v>0.075</v>
      </c>
      <c r="G17" s="13">
        <v>0.075</v>
      </c>
      <c r="H17" s="13">
        <v>0.075</v>
      </c>
      <c r="I17" s="13">
        <v>0.075</v>
      </c>
      <c r="J17" s="13">
        <v>0.075</v>
      </c>
      <c r="K17" s="13">
        <v>0.075</v>
      </c>
    </row>
    <row r="18" spans="1:11" x14ac:dyDescent="0.25">
      <c r="A18" t="s">
        <v>113</v>
      </c>
      <c r="B18" s="12">
        <v>515.5</v>
      </c>
      <c r="C18" s="12">
        <v>515.5</v>
      </c>
      <c r="D18" s="12">
        <v>515.5</v>
      </c>
      <c r="E18" s="12">
        <v>515.5</v>
      </c>
      <c r="F18" s="12">
        <v>515.5</v>
      </c>
      <c r="G18" s="12">
        <v>515.5</v>
      </c>
      <c r="H18" s="12">
        <v>515.5</v>
      </c>
      <c r="I18" s="12">
        <v>515.5</v>
      </c>
      <c r="J18" s="12">
        <v>515.5</v>
      </c>
      <c r="K18" s="12">
        <v>515.5</v>
      </c>
    </row>
    <row r="19" spans="1:11" x14ac:dyDescent="0.25">
      <c r="A19" t="s">
        <v>114</v>
      </c>
      <c r="B19" s="2">
        <v>0.04</v>
      </c>
      <c r="C19" s="2">
        <v>0.04</v>
      </c>
      <c r="D19" s="2">
        <v>0.04</v>
      </c>
      <c r="E19" s="2">
        <v>0.04</v>
      </c>
      <c r="F19" s="2">
        <v>0.04</v>
      </c>
      <c r="G19" s="2">
        <v>0.04</v>
      </c>
      <c r="H19" s="2">
        <v>0.04</v>
      </c>
      <c r="I19" s="2">
        <v>0.04</v>
      </c>
      <c r="J19" s="2">
        <v>0.04</v>
      </c>
      <c r="K19" s="2">
        <v>0.04</v>
      </c>
    </row>
    <row r="21" spans="1:44" x14ac:dyDescent="0.25">
      <c r="A21" s="6" t="s">
        <v>115</v>
      </c>
      <c r="B21" s="6" t="s">
        <v>18</v>
      </c>
      <c r="C21" s="6" t="s">
        <v>19</v>
      </c>
      <c r="D21" s="6" t="s">
        <v>20</v>
      </c>
      <c r="E21" s="6" t="s">
        <v>21</v>
      </c>
      <c r="F21" s="6" t="s">
        <v>22</v>
      </c>
      <c r="G21" s="6" t="s">
        <v>23</v>
      </c>
      <c r="H21" s="6" t="s">
        <v>24</v>
      </c>
      <c r="I21" s="6" t="s">
        <v>25</v>
      </c>
      <c r="J21" s="6" t="s">
        <v>26</v>
      </c>
      <c r="K21" s="6" t="s">
        <v>27</v>
      </c>
      <c r="L21" s="6" t="s">
        <v>28</v>
      </c>
      <c r="M21" s="6" t="s">
        <v>29</v>
      </c>
      <c r="N21" s="6" t="s">
        <v>30</v>
      </c>
      <c r="O21" s="6" t="s">
        <v>31</v>
      </c>
      <c r="P21" s="6" t="s">
        <v>32</v>
      </c>
      <c r="Q21" s="6" t="s">
        <v>33</v>
      </c>
      <c r="R21" s="6" t="s">
        <v>34</v>
      </c>
      <c r="S21" s="6" t="s">
        <v>35</v>
      </c>
      <c r="T21" s="6" t="s">
        <v>36</v>
      </c>
      <c r="U21" s="6" t="s">
        <v>37</v>
      </c>
      <c r="V21" s="6" t="s">
        <v>38</v>
      </c>
      <c r="W21" s="6" t="s">
        <v>39</v>
      </c>
      <c r="X21" s="6" t="s">
        <v>40</v>
      </c>
      <c r="Y21" s="6" t="s">
        <v>41</v>
      </c>
      <c r="Z21" s="6" t="s">
        <v>42</v>
      </c>
      <c r="AA21" s="6" t="s">
        <v>43</v>
      </c>
      <c r="AB21" s="6" t="s">
        <v>44</v>
      </c>
      <c r="AC21" s="6" t="s">
        <v>45</v>
      </c>
      <c r="AD21" s="6" t="s">
        <v>46</v>
      </c>
      <c r="AE21" s="6" t="s">
        <v>47</v>
      </c>
      <c r="AF21" s="6" t="s">
        <v>48</v>
      </c>
      <c r="AG21" s="6" t="s">
        <v>49</v>
      </c>
      <c r="AH21" s="6" t="s">
        <v>50</v>
      </c>
      <c r="AI21" s="6" t="s">
        <v>51</v>
      </c>
      <c r="AJ21" s="6" t="s">
        <v>52</v>
      </c>
      <c r="AK21" s="6" t="s">
        <v>53</v>
      </c>
      <c r="AL21" s="6" t="s">
        <v>54</v>
      </c>
      <c r="AM21" s="6" t="s">
        <v>55</v>
      </c>
      <c r="AN21" s="6" t="s">
        <v>56</v>
      </c>
      <c r="AO21" s="6" t="s">
        <v>57</v>
      </c>
      <c r="AP21" s="6" t="s">
        <v>58</v>
      </c>
      <c r="AQ21" s="6" t="s">
        <v>59</v>
      </c>
      <c r="AR21" s="6" t="s">
        <v>60</v>
      </c>
    </row>
    <row r="22" spans="1:44" x14ac:dyDescent="0.25">
      <c r="A22" t="s">
        <v>99</v>
      </c>
      <c r="B22" s="12">
        <f>INDEX($B$4:$K$4,1,'CAPEX'!B5)</f>
      </c>
      <c r="C22" s="12">
        <f>INDEX($B$4:$K$4,1,'CAPEX'!C5)</f>
      </c>
      <c r="D22" s="12">
        <f>INDEX($B$4:$K$4,1,'CAPEX'!D5)</f>
      </c>
      <c r="E22" s="12">
        <f>INDEX($B$4:$K$4,1,'CAPEX'!E5)</f>
      </c>
      <c r="F22" s="12">
        <f>INDEX($B$4:$K$4,1,'CAPEX'!F5)</f>
      </c>
      <c r="G22" s="12">
        <f>INDEX($B$4:$K$4,1,'CAPEX'!G5)</f>
      </c>
      <c r="H22" s="12">
        <f>INDEX($B$4:$K$4,1,'CAPEX'!H5)</f>
      </c>
      <c r="I22" s="12">
        <f>INDEX($B$4:$K$4,1,'CAPEX'!I5)</f>
      </c>
      <c r="J22" s="12">
        <f>INDEX($B$4:$K$4,1,'CAPEX'!J5)</f>
      </c>
      <c r="K22" s="12">
        <f>INDEX($B$4:$K$4,1,'CAPEX'!K5)</f>
      </c>
      <c r="L22" s="12">
        <f>INDEX($B$4:$K$4,1,'CAPEX'!L5)</f>
      </c>
      <c r="M22" s="12">
        <f>INDEX($B$4:$K$4,1,'CAPEX'!M5)</f>
      </c>
      <c r="N22" s="12">
        <f>INDEX($B$4:$K$4,1,'CAPEX'!N5)</f>
      </c>
      <c r="O22" s="12">
        <f>INDEX($B$4:$K$4,1,'CAPEX'!O5)</f>
      </c>
      <c r="P22" s="12">
        <f>INDEX($B$4:$K$4,1,'CAPEX'!P5)</f>
      </c>
      <c r="Q22" s="12">
        <f>INDEX($B$4:$K$4,1,'CAPEX'!Q5)</f>
      </c>
      <c r="R22" s="12">
        <f>INDEX($B$4:$K$4,1,'CAPEX'!R5)</f>
      </c>
      <c r="S22" s="12">
        <f>INDEX($B$4:$K$4,1,'CAPEX'!S5)</f>
      </c>
      <c r="T22" s="12">
        <f>INDEX($B$4:$K$4,1,'CAPEX'!T5)</f>
      </c>
      <c r="U22" s="12">
        <f>INDEX($B$4:$K$4,1,'CAPEX'!U5)</f>
      </c>
      <c r="V22" s="12">
        <f>INDEX($B$4:$K$4,1,'CAPEX'!V5)</f>
      </c>
      <c r="W22" s="12">
        <f>INDEX($B$4:$K$4,1,'CAPEX'!W5)</f>
      </c>
      <c r="X22" s="12">
        <f>INDEX($B$4:$K$4,1,'CAPEX'!X5)</f>
      </c>
      <c r="Y22" s="12">
        <f>INDEX($B$4:$K$4,1,'CAPEX'!Y5)</f>
      </c>
      <c r="Z22" s="12">
        <f>INDEX($B$4:$K$4,1,'CAPEX'!Z5)</f>
      </c>
      <c r="AA22" s="12">
        <f>INDEX($B$4:$K$4,1,'CAPEX'!AA5)</f>
      </c>
      <c r="AB22" s="12">
        <f>INDEX($B$4:$K$4,1,'CAPEX'!AB5)</f>
      </c>
      <c r="AC22" s="12">
        <f>INDEX($B$4:$K$4,1,'CAPEX'!AC5)</f>
      </c>
      <c r="AD22" s="12">
        <f>INDEX($B$4:$K$4,1,'CAPEX'!AD5)</f>
      </c>
      <c r="AE22" s="12">
        <f>INDEX($B$4:$K$4,1,'CAPEX'!AE5)</f>
      </c>
      <c r="AF22" s="12">
        <f>INDEX($B$4:$K$4,1,'CAPEX'!AF5)</f>
      </c>
      <c r="AG22" s="12">
        <f>INDEX($B$4:$K$4,1,'CAPEX'!AG5)</f>
      </c>
      <c r="AH22" s="12">
        <f>INDEX($B$4:$K$4,1,'CAPEX'!AH5)</f>
      </c>
      <c r="AI22" s="12">
        <f>INDEX($B$4:$K$4,1,'CAPEX'!AI5)</f>
      </c>
      <c r="AJ22" s="12">
        <f>INDEX($B$4:$K$4,1,'CAPEX'!AJ5)</f>
      </c>
      <c r="AK22" s="12">
        <f>INDEX($B$4:$K$4,1,'CAPEX'!AK5)</f>
      </c>
      <c r="AL22" s="12">
        <f>INDEX($B$4:$K$4,1,'CAPEX'!AL5)</f>
      </c>
      <c r="AM22" s="12">
        <f>INDEX($B$4:$K$4,1,'CAPEX'!AM5)</f>
      </c>
      <c r="AN22" s="12">
        <f>INDEX($B$4:$K$4,1,'CAPEX'!AN5)</f>
      </c>
      <c r="AO22" s="12">
        <f>INDEX($B$4:$K$4,1,'CAPEX'!AO5)</f>
      </c>
      <c r="AP22" s="12">
        <f>INDEX($B$4:$K$4,1,'CAPEX'!AP5)</f>
      </c>
      <c r="AQ22" s="12">
        <f>INDEX($B$4:$K$4,1,'CAPEX'!AQ5)</f>
      </c>
      <c r="AR22" s="12">
        <f>INDEX($B$4:$K$4,1,'CAPEX'!AR5)</f>
      </c>
    </row>
    <row r="23" spans="1:44" x14ac:dyDescent="0.25">
      <c r="A23" t="s">
        <v>100</v>
      </c>
      <c r="B23" s="4">
        <f>INDEX($B$5:$K$5,1,'CAPEX'!B5)</f>
      </c>
      <c r="C23" s="4">
        <f>INDEX($B$5:$K$5,1,'CAPEX'!C5)</f>
      </c>
      <c r="D23" s="4">
        <f>INDEX($B$5:$K$5,1,'CAPEX'!D5)</f>
      </c>
      <c r="E23" s="4">
        <f>INDEX($B$5:$K$5,1,'CAPEX'!E5)</f>
      </c>
      <c r="F23" s="4">
        <f>INDEX($B$5:$K$5,1,'CAPEX'!F5)</f>
      </c>
      <c r="G23" s="4">
        <f>INDEX($B$5:$K$5,1,'CAPEX'!G5)</f>
      </c>
      <c r="H23" s="4">
        <f>INDEX($B$5:$K$5,1,'CAPEX'!H5)</f>
      </c>
      <c r="I23" s="4">
        <f>INDEX($B$5:$K$5,1,'CAPEX'!I5)</f>
      </c>
      <c r="J23" s="4">
        <f>INDEX($B$5:$K$5,1,'CAPEX'!J5)</f>
      </c>
      <c r="K23" s="4">
        <f>INDEX($B$5:$K$5,1,'CAPEX'!K5)</f>
      </c>
      <c r="L23" s="4">
        <f>INDEX($B$5:$K$5,1,'CAPEX'!L5)</f>
      </c>
      <c r="M23" s="4">
        <f>INDEX($B$5:$K$5,1,'CAPEX'!M5)</f>
      </c>
      <c r="N23" s="4">
        <f>INDEX($B$5:$K$5,1,'CAPEX'!N5)</f>
      </c>
      <c r="O23" s="4">
        <f>INDEX($B$5:$K$5,1,'CAPEX'!O5)</f>
      </c>
      <c r="P23" s="4">
        <f>INDEX($B$5:$K$5,1,'CAPEX'!P5)</f>
      </c>
      <c r="Q23" s="4">
        <f>INDEX($B$5:$K$5,1,'CAPEX'!Q5)</f>
      </c>
      <c r="R23" s="4">
        <f>INDEX($B$5:$K$5,1,'CAPEX'!R5)</f>
      </c>
      <c r="S23" s="4">
        <f>INDEX($B$5:$K$5,1,'CAPEX'!S5)</f>
      </c>
      <c r="T23" s="4">
        <f>INDEX($B$5:$K$5,1,'CAPEX'!T5)</f>
      </c>
      <c r="U23" s="4">
        <f>INDEX($B$5:$K$5,1,'CAPEX'!U5)</f>
      </c>
      <c r="V23" s="4">
        <f>INDEX($B$5:$K$5,1,'CAPEX'!V5)</f>
      </c>
      <c r="W23" s="4">
        <f>INDEX($B$5:$K$5,1,'CAPEX'!W5)</f>
      </c>
      <c r="X23" s="4">
        <f>INDEX($B$5:$K$5,1,'CAPEX'!X5)</f>
      </c>
      <c r="Y23" s="4">
        <f>INDEX($B$5:$K$5,1,'CAPEX'!Y5)</f>
      </c>
      <c r="Z23" s="4">
        <f>INDEX($B$5:$K$5,1,'CAPEX'!Z5)</f>
      </c>
      <c r="AA23" s="4">
        <f>INDEX($B$5:$K$5,1,'CAPEX'!AA5)</f>
      </c>
      <c r="AB23" s="4">
        <f>INDEX($B$5:$K$5,1,'CAPEX'!AB5)</f>
      </c>
      <c r="AC23" s="4">
        <f>INDEX($B$5:$K$5,1,'CAPEX'!AC5)</f>
      </c>
      <c r="AD23" s="4">
        <f>INDEX($B$5:$K$5,1,'CAPEX'!AD5)</f>
      </c>
      <c r="AE23" s="4">
        <f>INDEX($B$5:$K$5,1,'CAPEX'!AE5)</f>
      </c>
      <c r="AF23" s="4">
        <f>INDEX($B$5:$K$5,1,'CAPEX'!AF5)</f>
      </c>
      <c r="AG23" s="4">
        <f>INDEX($B$5:$K$5,1,'CAPEX'!AG5)</f>
      </c>
      <c r="AH23" s="4">
        <f>INDEX($B$5:$K$5,1,'CAPEX'!AH5)</f>
      </c>
      <c r="AI23" s="4">
        <f>INDEX($B$5:$K$5,1,'CAPEX'!AI5)</f>
      </c>
      <c r="AJ23" s="4">
        <f>INDEX($B$5:$K$5,1,'CAPEX'!AJ5)</f>
      </c>
      <c r="AK23" s="4">
        <f>INDEX($B$5:$K$5,1,'CAPEX'!AK5)</f>
      </c>
      <c r="AL23" s="4">
        <f>INDEX($B$5:$K$5,1,'CAPEX'!AL5)</f>
      </c>
      <c r="AM23" s="4">
        <f>INDEX($B$5:$K$5,1,'CAPEX'!AM5)</f>
      </c>
      <c r="AN23" s="4">
        <f>INDEX($B$5:$K$5,1,'CAPEX'!AN5)</f>
      </c>
      <c r="AO23" s="4">
        <f>INDEX($B$5:$K$5,1,'CAPEX'!AO5)</f>
      </c>
      <c r="AP23" s="4">
        <f>INDEX($B$5:$K$5,1,'CAPEX'!AP5)</f>
      </c>
      <c r="AQ23" s="4">
        <f>INDEX($B$5:$K$5,1,'CAPEX'!AQ5)</f>
      </c>
      <c r="AR23" s="4">
        <f>INDEX($B$5:$K$5,1,'CAPEX'!AR5)</f>
      </c>
    </row>
    <row r="24" spans="1:44" x14ac:dyDescent="0.25">
      <c r="A24" t="s">
        <v>101</v>
      </c>
      <c r="B24" s="4">
        <f>INDEX($B$6:$K$6,1,'CAPEX'!B5)</f>
      </c>
      <c r="C24" s="4">
        <f>INDEX($B$6:$K$6,1,'CAPEX'!C5)</f>
      </c>
      <c r="D24" s="4">
        <f>INDEX($B$6:$K$6,1,'CAPEX'!D5)</f>
      </c>
      <c r="E24" s="4">
        <f>INDEX($B$6:$K$6,1,'CAPEX'!E5)</f>
      </c>
      <c r="F24" s="4">
        <f>INDEX($B$6:$K$6,1,'CAPEX'!F5)</f>
      </c>
      <c r="G24" s="4">
        <f>INDEX($B$6:$K$6,1,'CAPEX'!G5)</f>
      </c>
      <c r="H24" s="4">
        <f>INDEX($B$6:$K$6,1,'CAPEX'!H5)</f>
      </c>
      <c r="I24" s="4">
        <f>INDEX($B$6:$K$6,1,'CAPEX'!I5)</f>
      </c>
      <c r="J24" s="4">
        <f>INDEX($B$6:$K$6,1,'CAPEX'!J5)</f>
      </c>
      <c r="K24" s="4">
        <f>INDEX($B$6:$K$6,1,'CAPEX'!K5)</f>
      </c>
      <c r="L24" s="4">
        <f>INDEX($B$6:$K$6,1,'CAPEX'!L5)</f>
      </c>
      <c r="M24" s="4">
        <f>INDEX($B$6:$K$6,1,'CAPEX'!M5)</f>
      </c>
      <c r="N24" s="4">
        <f>INDEX($B$6:$K$6,1,'CAPEX'!N5)</f>
      </c>
      <c r="O24" s="4">
        <f>INDEX($B$6:$K$6,1,'CAPEX'!O5)</f>
      </c>
      <c r="P24" s="4">
        <f>INDEX($B$6:$K$6,1,'CAPEX'!P5)</f>
      </c>
      <c r="Q24" s="4">
        <f>INDEX($B$6:$K$6,1,'CAPEX'!Q5)</f>
      </c>
      <c r="R24" s="4">
        <f>INDEX($B$6:$K$6,1,'CAPEX'!R5)</f>
      </c>
      <c r="S24" s="4">
        <f>INDEX($B$6:$K$6,1,'CAPEX'!S5)</f>
      </c>
      <c r="T24" s="4">
        <f>INDEX($B$6:$K$6,1,'CAPEX'!T5)</f>
      </c>
      <c r="U24" s="4">
        <f>INDEX($B$6:$K$6,1,'CAPEX'!U5)</f>
      </c>
      <c r="V24" s="4">
        <f>INDEX($B$6:$K$6,1,'CAPEX'!V5)</f>
      </c>
      <c r="W24" s="4">
        <f>INDEX($B$6:$K$6,1,'CAPEX'!W5)</f>
      </c>
      <c r="X24" s="4">
        <f>INDEX($B$6:$K$6,1,'CAPEX'!X5)</f>
      </c>
      <c r="Y24" s="4">
        <f>INDEX($B$6:$K$6,1,'CAPEX'!Y5)</f>
      </c>
      <c r="Z24" s="4">
        <f>INDEX($B$6:$K$6,1,'CAPEX'!Z5)</f>
      </c>
      <c r="AA24" s="4">
        <f>INDEX($B$6:$K$6,1,'CAPEX'!AA5)</f>
      </c>
      <c r="AB24" s="4">
        <f>INDEX($B$6:$K$6,1,'CAPEX'!AB5)</f>
      </c>
      <c r="AC24" s="4">
        <f>INDEX($B$6:$K$6,1,'CAPEX'!AC5)</f>
      </c>
      <c r="AD24" s="4">
        <f>INDEX($B$6:$K$6,1,'CAPEX'!AD5)</f>
      </c>
      <c r="AE24" s="4">
        <f>INDEX($B$6:$K$6,1,'CAPEX'!AE5)</f>
      </c>
      <c r="AF24" s="4">
        <f>INDEX($B$6:$K$6,1,'CAPEX'!AF5)</f>
      </c>
      <c r="AG24" s="4">
        <f>INDEX($B$6:$K$6,1,'CAPEX'!AG5)</f>
      </c>
      <c r="AH24" s="4">
        <f>INDEX($B$6:$K$6,1,'CAPEX'!AH5)</f>
      </c>
      <c r="AI24" s="4">
        <f>INDEX($B$6:$K$6,1,'CAPEX'!AI5)</f>
      </c>
      <c r="AJ24" s="4">
        <f>INDEX($B$6:$K$6,1,'CAPEX'!AJ5)</f>
      </c>
      <c r="AK24" s="4">
        <f>INDEX($B$6:$K$6,1,'CAPEX'!AK5)</f>
      </c>
      <c r="AL24" s="4">
        <f>INDEX($B$6:$K$6,1,'CAPEX'!AL5)</f>
      </c>
      <c r="AM24" s="4">
        <f>INDEX($B$6:$K$6,1,'CAPEX'!AM5)</f>
      </c>
      <c r="AN24" s="4">
        <f>INDEX($B$6:$K$6,1,'CAPEX'!AN5)</f>
      </c>
      <c r="AO24" s="4">
        <f>INDEX($B$6:$K$6,1,'CAPEX'!AO5)</f>
      </c>
      <c r="AP24" s="4">
        <f>INDEX($B$6:$K$6,1,'CAPEX'!AP5)</f>
      </c>
      <c r="AQ24" s="4">
        <f>INDEX($B$6:$K$6,1,'CAPEX'!AQ5)</f>
      </c>
      <c r="AR24" s="4">
        <f>INDEX($B$6:$K$6,1,'CAPEX'!AR5)</f>
      </c>
    </row>
    <row r="25" spans="1:44" x14ac:dyDescent="0.25">
      <c r="A25" t="s">
        <v>102</v>
      </c>
      <c r="B25" s="4">
        <f>INDEX($B$7:$K$7,1,'CAPEX'!B5)</f>
      </c>
      <c r="C25" s="4">
        <f>INDEX($B$7:$K$7,1,'CAPEX'!C5)</f>
      </c>
      <c r="D25" s="4">
        <f>INDEX($B$7:$K$7,1,'CAPEX'!D5)</f>
      </c>
      <c r="E25" s="4">
        <f>INDEX($B$7:$K$7,1,'CAPEX'!E5)</f>
      </c>
      <c r="F25" s="4">
        <f>INDEX($B$7:$K$7,1,'CAPEX'!F5)</f>
      </c>
      <c r="G25" s="4">
        <f>INDEX($B$7:$K$7,1,'CAPEX'!G5)</f>
      </c>
      <c r="H25" s="4">
        <f>INDEX($B$7:$K$7,1,'CAPEX'!H5)</f>
      </c>
      <c r="I25" s="4">
        <f>INDEX($B$7:$K$7,1,'CAPEX'!I5)</f>
      </c>
      <c r="J25" s="4">
        <f>INDEX($B$7:$K$7,1,'CAPEX'!J5)</f>
      </c>
      <c r="K25" s="4">
        <f>INDEX($B$7:$K$7,1,'CAPEX'!K5)</f>
      </c>
      <c r="L25" s="4">
        <f>INDEX($B$7:$K$7,1,'CAPEX'!L5)</f>
      </c>
      <c r="M25" s="4">
        <f>INDEX($B$7:$K$7,1,'CAPEX'!M5)</f>
      </c>
      <c r="N25" s="4">
        <f>INDEX($B$7:$K$7,1,'CAPEX'!N5)</f>
      </c>
      <c r="O25" s="4">
        <f>INDEX($B$7:$K$7,1,'CAPEX'!O5)</f>
      </c>
      <c r="P25" s="4">
        <f>INDEX($B$7:$K$7,1,'CAPEX'!P5)</f>
      </c>
      <c r="Q25" s="4">
        <f>INDEX($B$7:$K$7,1,'CAPEX'!Q5)</f>
      </c>
      <c r="R25" s="4">
        <f>INDEX($B$7:$K$7,1,'CAPEX'!R5)</f>
      </c>
      <c r="S25" s="4">
        <f>INDEX($B$7:$K$7,1,'CAPEX'!S5)</f>
      </c>
      <c r="T25" s="4">
        <f>INDEX($B$7:$K$7,1,'CAPEX'!T5)</f>
      </c>
      <c r="U25" s="4">
        <f>INDEX($B$7:$K$7,1,'CAPEX'!U5)</f>
      </c>
      <c r="V25" s="4">
        <f>INDEX($B$7:$K$7,1,'CAPEX'!V5)</f>
      </c>
      <c r="W25" s="4">
        <f>INDEX($B$7:$K$7,1,'CAPEX'!W5)</f>
      </c>
      <c r="X25" s="4">
        <f>INDEX($B$7:$K$7,1,'CAPEX'!X5)</f>
      </c>
      <c r="Y25" s="4">
        <f>INDEX($B$7:$K$7,1,'CAPEX'!Y5)</f>
      </c>
      <c r="Z25" s="4">
        <f>INDEX($B$7:$K$7,1,'CAPEX'!Z5)</f>
      </c>
      <c r="AA25" s="4">
        <f>INDEX($B$7:$K$7,1,'CAPEX'!AA5)</f>
      </c>
      <c r="AB25" s="4">
        <f>INDEX($B$7:$K$7,1,'CAPEX'!AB5)</f>
      </c>
      <c r="AC25" s="4">
        <f>INDEX($B$7:$K$7,1,'CAPEX'!AC5)</f>
      </c>
      <c r="AD25" s="4">
        <f>INDEX($B$7:$K$7,1,'CAPEX'!AD5)</f>
      </c>
      <c r="AE25" s="4">
        <f>INDEX($B$7:$K$7,1,'CAPEX'!AE5)</f>
      </c>
      <c r="AF25" s="4">
        <f>INDEX($B$7:$K$7,1,'CAPEX'!AF5)</f>
      </c>
      <c r="AG25" s="4">
        <f>INDEX($B$7:$K$7,1,'CAPEX'!AG5)</f>
      </c>
      <c r="AH25" s="4">
        <f>INDEX($B$7:$K$7,1,'CAPEX'!AH5)</f>
      </c>
      <c r="AI25" s="4">
        <f>INDEX($B$7:$K$7,1,'CAPEX'!AI5)</f>
      </c>
      <c r="AJ25" s="4">
        <f>INDEX($B$7:$K$7,1,'CAPEX'!AJ5)</f>
      </c>
      <c r="AK25" s="4">
        <f>INDEX($B$7:$K$7,1,'CAPEX'!AK5)</f>
      </c>
      <c r="AL25" s="4">
        <f>INDEX($B$7:$K$7,1,'CAPEX'!AL5)</f>
      </c>
      <c r="AM25" s="4">
        <f>INDEX($B$7:$K$7,1,'CAPEX'!AM5)</f>
      </c>
      <c r="AN25" s="4">
        <f>INDEX($B$7:$K$7,1,'CAPEX'!AN5)</f>
      </c>
      <c r="AO25" s="4">
        <f>INDEX($B$7:$K$7,1,'CAPEX'!AO5)</f>
      </c>
      <c r="AP25" s="4">
        <f>INDEX($B$7:$K$7,1,'CAPEX'!AP5)</f>
      </c>
      <c r="AQ25" s="4">
        <f>INDEX($B$7:$K$7,1,'CAPEX'!AQ5)</f>
      </c>
      <c r="AR25" s="4">
        <f>INDEX($B$7:$K$7,1,'CAPEX'!AR5)</f>
      </c>
    </row>
    <row r="26" spans="1:44" x14ac:dyDescent="0.25">
      <c r="A26" t="s">
        <v>103</v>
      </c>
      <c r="B26" s="4">
        <f>INDEX($B$8:$K$8,1,'CAPEX'!B5)</f>
      </c>
      <c r="C26" s="4">
        <f>INDEX($B$8:$K$8,1,'CAPEX'!C5)</f>
      </c>
      <c r="D26" s="4">
        <f>INDEX($B$8:$K$8,1,'CAPEX'!D5)</f>
      </c>
      <c r="E26" s="4">
        <f>INDEX($B$8:$K$8,1,'CAPEX'!E5)</f>
      </c>
      <c r="F26" s="4">
        <f>INDEX($B$8:$K$8,1,'CAPEX'!F5)</f>
      </c>
      <c r="G26" s="4">
        <f>INDEX($B$8:$K$8,1,'CAPEX'!G5)</f>
      </c>
      <c r="H26" s="4">
        <f>INDEX($B$8:$K$8,1,'CAPEX'!H5)</f>
      </c>
      <c r="I26" s="4">
        <f>INDEX($B$8:$K$8,1,'CAPEX'!I5)</f>
      </c>
      <c r="J26" s="4">
        <f>INDEX($B$8:$K$8,1,'CAPEX'!J5)</f>
      </c>
      <c r="K26" s="4">
        <f>INDEX($B$8:$K$8,1,'CAPEX'!K5)</f>
      </c>
      <c r="L26" s="4">
        <f>INDEX($B$8:$K$8,1,'CAPEX'!L5)</f>
      </c>
      <c r="M26" s="4">
        <f>INDEX($B$8:$K$8,1,'CAPEX'!M5)</f>
      </c>
      <c r="N26" s="4">
        <f>INDEX($B$8:$K$8,1,'CAPEX'!N5)</f>
      </c>
      <c r="O26" s="4">
        <f>INDEX($B$8:$K$8,1,'CAPEX'!O5)</f>
      </c>
      <c r="P26" s="4">
        <f>INDEX($B$8:$K$8,1,'CAPEX'!P5)</f>
      </c>
      <c r="Q26" s="4">
        <f>INDEX($B$8:$K$8,1,'CAPEX'!Q5)</f>
      </c>
      <c r="R26" s="4">
        <f>INDEX($B$8:$K$8,1,'CAPEX'!R5)</f>
      </c>
      <c r="S26" s="4">
        <f>INDEX($B$8:$K$8,1,'CAPEX'!S5)</f>
      </c>
      <c r="T26" s="4">
        <f>INDEX($B$8:$K$8,1,'CAPEX'!T5)</f>
      </c>
      <c r="U26" s="4">
        <f>INDEX($B$8:$K$8,1,'CAPEX'!U5)</f>
      </c>
      <c r="V26" s="4">
        <f>INDEX($B$8:$K$8,1,'CAPEX'!V5)</f>
      </c>
      <c r="W26" s="4">
        <f>INDEX($B$8:$K$8,1,'CAPEX'!W5)</f>
      </c>
      <c r="X26" s="4">
        <f>INDEX($B$8:$K$8,1,'CAPEX'!X5)</f>
      </c>
      <c r="Y26" s="4">
        <f>INDEX($B$8:$K$8,1,'CAPEX'!Y5)</f>
      </c>
      <c r="Z26" s="4">
        <f>INDEX($B$8:$K$8,1,'CAPEX'!Z5)</f>
      </c>
      <c r="AA26" s="4">
        <f>INDEX($B$8:$K$8,1,'CAPEX'!AA5)</f>
      </c>
      <c r="AB26" s="4">
        <f>INDEX($B$8:$K$8,1,'CAPEX'!AB5)</f>
      </c>
      <c r="AC26" s="4">
        <f>INDEX($B$8:$K$8,1,'CAPEX'!AC5)</f>
      </c>
      <c r="AD26" s="4">
        <f>INDEX($B$8:$K$8,1,'CAPEX'!AD5)</f>
      </c>
      <c r="AE26" s="4">
        <f>INDEX($B$8:$K$8,1,'CAPEX'!AE5)</f>
      </c>
      <c r="AF26" s="4">
        <f>INDEX($B$8:$K$8,1,'CAPEX'!AF5)</f>
      </c>
      <c r="AG26" s="4">
        <f>INDEX($B$8:$K$8,1,'CAPEX'!AG5)</f>
      </c>
      <c r="AH26" s="4">
        <f>INDEX($B$8:$K$8,1,'CAPEX'!AH5)</f>
      </c>
      <c r="AI26" s="4">
        <f>INDEX($B$8:$K$8,1,'CAPEX'!AI5)</f>
      </c>
      <c r="AJ26" s="4">
        <f>INDEX($B$8:$K$8,1,'CAPEX'!AJ5)</f>
      </c>
      <c r="AK26" s="4">
        <f>INDEX($B$8:$K$8,1,'CAPEX'!AK5)</f>
      </c>
      <c r="AL26" s="4">
        <f>INDEX($B$8:$K$8,1,'CAPEX'!AL5)</f>
      </c>
      <c r="AM26" s="4">
        <f>INDEX($B$8:$K$8,1,'CAPEX'!AM5)</f>
      </c>
      <c r="AN26" s="4">
        <f>INDEX($B$8:$K$8,1,'CAPEX'!AN5)</f>
      </c>
      <c r="AO26" s="4">
        <f>INDEX($B$8:$K$8,1,'CAPEX'!AO5)</f>
      </c>
      <c r="AP26" s="4">
        <f>INDEX($B$8:$K$8,1,'CAPEX'!AP5)</f>
      </c>
      <c r="AQ26" s="4">
        <f>INDEX($B$8:$K$8,1,'CAPEX'!AQ5)</f>
      </c>
      <c r="AR26" s="4">
        <f>INDEX($B$8:$K$8,1,'CAPEX'!AR5)</f>
      </c>
    </row>
    <row r="27" spans="1:44" x14ac:dyDescent="0.25">
      <c r="A27" t="s">
        <v>104</v>
      </c>
      <c r="B27" s="4">
        <f>INDEX($B$9:$K$9,1,'CAPEX'!B5)</f>
      </c>
      <c r="C27" s="4">
        <f>INDEX($B$9:$K$9,1,'CAPEX'!C5)</f>
      </c>
      <c r="D27" s="4">
        <f>INDEX($B$9:$K$9,1,'CAPEX'!D5)</f>
      </c>
      <c r="E27" s="4">
        <f>INDEX($B$9:$K$9,1,'CAPEX'!E5)</f>
      </c>
      <c r="F27" s="4">
        <f>INDEX($B$9:$K$9,1,'CAPEX'!F5)</f>
      </c>
      <c r="G27" s="4">
        <f>INDEX($B$9:$K$9,1,'CAPEX'!G5)</f>
      </c>
      <c r="H27" s="4">
        <f>INDEX($B$9:$K$9,1,'CAPEX'!H5)</f>
      </c>
      <c r="I27" s="4">
        <f>INDEX($B$9:$K$9,1,'CAPEX'!I5)</f>
      </c>
      <c r="J27" s="4">
        <f>INDEX($B$9:$K$9,1,'CAPEX'!J5)</f>
      </c>
      <c r="K27" s="4">
        <f>INDEX($B$9:$K$9,1,'CAPEX'!K5)</f>
      </c>
      <c r="L27" s="4">
        <f>INDEX($B$9:$K$9,1,'CAPEX'!L5)</f>
      </c>
      <c r="M27" s="4">
        <f>INDEX($B$9:$K$9,1,'CAPEX'!M5)</f>
      </c>
      <c r="N27" s="4">
        <f>INDEX($B$9:$K$9,1,'CAPEX'!N5)</f>
      </c>
      <c r="O27" s="4">
        <f>INDEX($B$9:$K$9,1,'CAPEX'!O5)</f>
      </c>
      <c r="P27" s="4">
        <f>INDEX($B$9:$K$9,1,'CAPEX'!P5)</f>
      </c>
      <c r="Q27" s="4">
        <f>INDEX($B$9:$K$9,1,'CAPEX'!Q5)</f>
      </c>
      <c r="R27" s="4">
        <f>INDEX($B$9:$K$9,1,'CAPEX'!R5)</f>
      </c>
      <c r="S27" s="4">
        <f>INDEX($B$9:$K$9,1,'CAPEX'!S5)</f>
      </c>
      <c r="T27" s="4">
        <f>INDEX($B$9:$K$9,1,'CAPEX'!T5)</f>
      </c>
      <c r="U27" s="4">
        <f>INDEX($B$9:$K$9,1,'CAPEX'!U5)</f>
      </c>
      <c r="V27" s="4">
        <f>INDEX($B$9:$K$9,1,'CAPEX'!V5)</f>
      </c>
      <c r="W27" s="4">
        <f>INDEX($B$9:$K$9,1,'CAPEX'!W5)</f>
      </c>
      <c r="X27" s="4">
        <f>INDEX($B$9:$K$9,1,'CAPEX'!X5)</f>
      </c>
      <c r="Y27" s="4">
        <f>INDEX($B$9:$K$9,1,'CAPEX'!Y5)</f>
      </c>
      <c r="Z27" s="4">
        <f>INDEX($B$9:$K$9,1,'CAPEX'!Z5)</f>
      </c>
      <c r="AA27" s="4">
        <f>INDEX($B$9:$K$9,1,'CAPEX'!AA5)</f>
      </c>
      <c r="AB27" s="4">
        <f>INDEX($B$9:$K$9,1,'CAPEX'!AB5)</f>
      </c>
      <c r="AC27" s="4">
        <f>INDEX($B$9:$K$9,1,'CAPEX'!AC5)</f>
      </c>
      <c r="AD27" s="4">
        <f>INDEX($B$9:$K$9,1,'CAPEX'!AD5)</f>
      </c>
      <c r="AE27" s="4">
        <f>INDEX($B$9:$K$9,1,'CAPEX'!AE5)</f>
      </c>
      <c r="AF27" s="4">
        <f>INDEX($B$9:$K$9,1,'CAPEX'!AF5)</f>
      </c>
      <c r="AG27" s="4">
        <f>INDEX($B$9:$K$9,1,'CAPEX'!AG5)</f>
      </c>
      <c r="AH27" s="4">
        <f>INDEX($B$9:$K$9,1,'CAPEX'!AH5)</f>
      </c>
      <c r="AI27" s="4">
        <f>INDEX($B$9:$K$9,1,'CAPEX'!AI5)</f>
      </c>
      <c r="AJ27" s="4">
        <f>INDEX($B$9:$K$9,1,'CAPEX'!AJ5)</f>
      </c>
      <c r="AK27" s="4">
        <f>INDEX($B$9:$K$9,1,'CAPEX'!AK5)</f>
      </c>
      <c r="AL27" s="4">
        <f>INDEX($B$9:$K$9,1,'CAPEX'!AL5)</f>
      </c>
      <c r="AM27" s="4">
        <f>INDEX($B$9:$K$9,1,'CAPEX'!AM5)</f>
      </c>
      <c r="AN27" s="4">
        <f>INDEX($B$9:$K$9,1,'CAPEX'!AN5)</f>
      </c>
      <c r="AO27" s="4">
        <f>INDEX($B$9:$K$9,1,'CAPEX'!AO5)</f>
      </c>
      <c r="AP27" s="4">
        <f>INDEX($B$9:$K$9,1,'CAPEX'!AP5)</f>
      </c>
      <c r="AQ27" s="4">
        <f>INDEX($B$9:$K$9,1,'CAPEX'!AQ5)</f>
      </c>
      <c r="AR27" s="4">
        <f>INDEX($B$9:$K$9,1,'CAPEX'!AR5)</f>
      </c>
    </row>
    <row r="28" spans="1:44" x14ac:dyDescent="0.25">
      <c r="A28" t="s">
        <v>105</v>
      </c>
      <c r="B28" s="4">
        <f>INDEX($B$10:$K$10,1,'CAPEX'!B5)</f>
      </c>
      <c r="C28" s="4">
        <f>INDEX($B$10:$K$10,1,'CAPEX'!C5)</f>
      </c>
      <c r="D28" s="4">
        <f>INDEX($B$10:$K$10,1,'CAPEX'!D5)</f>
      </c>
      <c r="E28" s="4">
        <f>INDEX($B$10:$K$10,1,'CAPEX'!E5)</f>
      </c>
      <c r="F28" s="4">
        <f>INDEX($B$10:$K$10,1,'CAPEX'!F5)</f>
      </c>
      <c r="G28" s="4">
        <f>INDEX($B$10:$K$10,1,'CAPEX'!G5)</f>
      </c>
      <c r="H28" s="4">
        <f>INDEX($B$10:$K$10,1,'CAPEX'!H5)</f>
      </c>
      <c r="I28" s="4">
        <f>INDEX($B$10:$K$10,1,'CAPEX'!I5)</f>
      </c>
      <c r="J28" s="4">
        <f>INDEX($B$10:$K$10,1,'CAPEX'!J5)</f>
      </c>
      <c r="K28" s="4">
        <f>INDEX($B$10:$K$10,1,'CAPEX'!K5)</f>
      </c>
      <c r="L28" s="4">
        <f>INDEX($B$10:$K$10,1,'CAPEX'!L5)</f>
      </c>
      <c r="M28" s="4">
        <f>INDEX($B$10:$K$10,1,'CAPEX'!M5)</f>
      </c>
      <c r="N28" s="4">
        <f>INDEX($B$10:$K$10,1,'CAPEX'!N5)</f>
      </c>
      <c r="O28" s="4">
        <f>INDEX($B$10:$K$10,1,'CAPEX'!O5)</f>
      </c>
      <c r="P28" s="4">
        <f>INDEX($B$10:$K$10,1,'CAPEX'!P5)</f>
      </c>
      <c r="Q28" s="4">
        <f>INDEX($B$10:$K$10,1,'CAPEX'!Q5)</f>
      </c>
      <c r="R28" s="4">
        <f>INDEX($B$10:$K$10,1,'CAPEX'!R5)</f>
      </c>
      <c r="S28" s="4">
        <f>INDEX($B$10:$K$10,1,'CAPEX'!S5)</f>
      </c>
      <c r="T28" s="4">
        <f>INDEX($B$10:$K$10,1,'CAPEX'!T5)</f>
      </c>
      <c r="U28" s="4">
        <f>INDEX($B$10:$K$10,1,'CAPEX'!U5)</f>
      </c>
      <c r="V28" s="4">
        <f>INDEX($B$10:$K$10,1,'CAPEX'!V5)</f>
      </c>
      <c r="W28" s="4">
        <f>INDEX($B$10:$K$10,1,'CAPEX'!W5)</f>
      </c>
      <c r="X28" s="4">
        <f>INDEX($B$10:$K$10,1,'CAPEX'!X5)</f>
      </c>
      <c r="Y28" s="4">
        <f>INDEX($B$10:$K$10,1,'CAPEX'!Y5)</f>
      </c>
      <c r="Z28" s="4">
        <f>INDEX($B$10:$K$10,1,'CAPEX'!Z5)</f>
      </c>
      <c r="AA28" s="4">
        <f>INDEX($B$10:$K$10,1,'CAPEX'!AA5)</f>
      </c>
      <c r="AB28" s="4">
        <f>INDEX($B$10:$K$10,1,'CAPEX'!AB5)</f>
      </c>
      <c r="AC28" s="4">
        <f>INDEX($B$10:$K$10,1,'CAPEX'!AC5)</f>
      </c>
      <c r="AD28" s="4">
        <f>INDEX($B$10:$K$10,1,'CAPEX'!AD5)</f>
      </c>
      <c r="AE28" s="4">
        <f>INDEX($B$10:$K$10,1,'CAPEX'!AE5)</f>
      </c>
      <c r="AF28" s="4">
        <f>INDEX($B$10:$K$10,1,'CAPEX'!AF5)</f>
      </c>
      <c r="AG28" s="4">
        <f>INDEX($B$10:$K$10,1,'CAPEX'!AG5)</f>
      </c>
      <c r="AH28" s="4">
        <f>INDEX($B$10:$K$10,1,'CAPEX'!AH5)</f>
      </c>
      <c r="AI28" s="4">
        <f>INDEX($B$10:$K$10,1,'CAPEX'!AI5)</f>
      </c>
      <c r="AJ28" s="4">
        <f>INDEX($B$10:$K$10,1,'CAPEX'!AJ5)</f>
      </c>
      <c r="AK28" s="4">
        <f>INDEX($B$10:$K$10,1,'CAPEX'!AK5)</f>
      </c>
      <c r="AL28" s="4">
        <f>INDEX($B$10:$K$10,1,'CAPEX'!AL5)</f>
      </c>
      <c r="AM28" s="4">
        <f>INDEX($B$10:$K$10,1,'CAPEX'!AM5)</f>
      </c>
      <c r="AN28" s="4">
        <f>INDEX($B$10:$K$10,1,'CAPEX'!AN5)</f>
      </c>
      <c r="AO28" s="4">
        <f>INDEX($B$10:$K$10,1,'CAPEX'!AO5)</f>
      </c>
      <c r="AP28" s="4">
        <f>INDEX($B$10:$K$10,1,'CAPEX'!AP5)</f>
      </c>
      <c r="AQ28" s="4">
        <f>INDEX($B$10:$K$10,1,'CAPEX'!AQ5)</f>
      </c>
      <c r="AR28" s="4">
        <f>INDEX($B$10:$K$10,1,'CAPEX'!AR5)</f>
      </c>
    </row>
    <row r="29" spans="1:44" x14ac:dyDescent="0.25">
      <c r="A29" t="s">
        <v>106</v>
      </c>
      <c r="B29" s="12">
        <f>INDEX($B$11:$K$11,1,'CAPEX'!B5)</f>
      </c>
      <c r="C29" s="12">
        <f>INDEX($B$11:$K$11,1,'CAPEX'!C5)</f>
      </c>
      <c r="D29" s="12">
        <f>INDEX($B$11:$K$11,1,'CAPEX'!D5)</f>
      </c>
      <c r="E29" s="12">
        <f>INDEX($B$11:$K$11,1,'CAPEX'!E5)</f>
      </c>
      <c r="F29" s="12">
        <f>INDEX($B$11:$K$11,1,'CAPEX'!F5)</f>
      </c>
      <c r="G29" s="12">
        <f>INDEX($B$11:$K$11,1,'CAPEX'!G5)</f>
      </c>
      <c r="H29" s="12">
        <f>INDEX($B$11:$K$11,1,'CAPEX'!H5)</f>
      </c>
      <c r="I29" s="12">
        <f>INDEX($B$11:$K$11,1,'CAPEX'!I5)</f>
      </c>
      <c r="J29" s="12">
        <f>INDEX($B$11:$K$11,1,'CAPEX'!J5)</f>
      </c>
      <c r="K29" s="12">
        <f>INDEX($B$11:$K$11,1,'CAPEX'!K5)</f>
      </c>
      <c r="L29" s="12">
        <f>INDEX($B$11:$K$11,1,'CAPEX'!L5)</f>
      </c>
      <c r="M29" s="12">
        <f>INDEX($B$11:$K$11,1,'CAPEX'!M5)</f>
      </c>
      <c r="N29" s="12">
        <f>INDEX($B$11:$K$11,1,'CAPEX'!N5)</f>
      </c>
      <c r="O29" s="12">
        <f>INDEX($B$11:$K$11,1,'CAPEX'!O5)</f>
      </c>
      <c r="P29" s="12">
        <f>INDEX($B$11:$K$11,1,'CAPEX'!P5)</f>
      </c>
      <c r="Q29" s="12">
        <f>INDEX($B$11:$K$11,1,'CAPEX'!Q5)</f>
      </c>
      <c r="R29" s="12">
        <f>INDEX($B$11:$K$11,1,'CAPEX'!R5)</f>
      </c>
      <c r="S29" s="12">
        <f>INDEX($B$11:$K$11,1,'CAPEX'!S5)</f>
      </c>
      <c r="T29" s="12">
        <f>INDEX($B$11:$K$11,1,'CAPEX'!T5)</f>
      </c>
      <c r="U29" s="12">
        <f>INDEX($B$11:$K$11,1,'CAPEX'!U5)</f>
      </c>
      <c r="V29" s="12">
        <f>INDEX($B$11:$K$11,1,'CAPEX'!V5)</f>
      </c>
      <c r="W29" s="12">
        <f>INDEX($B$11:$K$11,1,'CAPEX'!W5)</f>
      </c>
      <c r="X29" s="12">
        <f>INDEX($B$11:$K$11,1,'CAPEX'!X5)</f>
      </c>
      <c r="Y29" s="12">
        <f>INDEX($B$11:$K$11,1,'CAPEX'!Y5)</f>
      </c>
      <c r="Z29" s="12">
        <f>INDEX($B$11:$K$11,1,'CAPEX'!Z5)</f>
      </c>
      <c r="AA29" s="12">
        <f>INDEX($B$11:$K$11,1,'CAPEX'!AA5)</f>
      </c>
      <c r="AB29" s="12">
        <f>INDEX($B$11:$K$11,1,'CAPEX'!AB5)</f>
      </c>
      <c r="AC29" s="12">
        <f>INDEX($B$11:$K$11,1,'CAPEX'!AC5)</f>
      </c>
      <c r="AD29" s="12">
        <f>INDEX($B$11:$K$11,1,'CAPEX'!AD5)</f>
      </c>
      <c r="AE29" s="12">
        <f>INDEX($B$11:$K$11,1,'CAPEX'!AE5)</f>
      </c>
      <c r="AF29" s="12">
        <f>INDEX($B$11:$K$11,1,'CAPEX'!AF5)</f>
      </c>
      <c r="AG29" s="12">
        <f>INDEX($B$11:$K$11,1,'CAPEX'!AG5)</f>
      </c>
      <c r="AH29" s="12">
        <f>INDEX($B$11:$K$11,1,'CAPEX'!AH5)</f>
      </c>
      <c r="AI29" s="12">
        <f>INDEX($B$11:$K$11,1,'CAPEX'!AI5)</f>
      </c>
      <c r="AJ29" s="12">
        <f>INDEX($B$11:$K$11,1,'CAPEX'!AJ5)</f>
      </c>
      <c r="AK29" s="12">
        <f>INDEX($B$11:$K$11,1,'CAPEX'!AK5)</f>
      </c>
      <c r="AL29" s="12">
        <f>INDEX($B$11:$K$11,1,'CAPEX'!AL5)</f>
      </c>
      <c r="AM29" s="12">
        <f>INDEX($B$11:$K$11,1,'CAPEX'!AM5)</f>
      </c>
      <c r="AN29" s="12">
        <f>INDEX($B$11:$K$11,1,'CAPEX'!AN5)</f>
      </c>
      <c r="AO29" s="12">
        <f>INDEX($B$11:$K$11,1,'CAPEX'!AO5)</f>
      </c>
      <c r="AP29" s="12">
        <f>INDEX($B$11:$K$11,1,'CAPEX'!AP5)</f>
      </c>
      <c r="AQ29" s="12">
        <f>INDEX($B$11:$K$11,1,'CAPEX'!AQ5)</f>
      </c>
      <c r="AR29" s="12">
        <f>INDEX($B$11:$K$11,1,'CAPEX'!AR5)</f>
      </c>
    </row>
    <row r="30" spans="1:44" x14ac:dyDescent="0.25">
      <c r="A30" t="s">
        <v>107</v>
      </c>
      <c r="B30" s="12">
        <f>INDEX($B$12:$K$12,1,'CAPEX'!B5)</f>
      </c>
      <c r="C30" s="12">
        <f>INDEX($B$12:$K$12,1,'CAPEX'!C5)</f>
      </c>
      <c r="D30" s="12">
        <f>INDEX($B$12:$K$12,1,'CAPEX'!D5)</f>
      </c>
      <c r="E30" s="12">
        <f>INDEX($B$12:$K$12,1,'CAPEX'!E5)</f>
      </c>
      <c r="F30" s="12">
        <f>INDEX($B$12:$K$12,1,'CAPEX'!F5)</f>
      </c>
      <c r="G30" s="12">
        <f>INDEX($B$12:$K$12,1,'CAPEX'!G5)</f>
      </c>
      <c r="H30" s="12">
        <f>INDEX($B$12:$K$12,1,'CAPEX'!H5)</f>
      </c>
      <c r="I30" s="12">
        <f>INDEX($B$12:$K$12,1,'CAPEX'!I5)</f>
      </c>
      <c r="J30" s="12">
        <f>INDEX($B$12:$K$12,1,'CAPEX'!J5)</f>
      </c>
      <c r="K30" s="12">
        <f>INDEX($B$12:$K$12,1,'CAPEX'!K5)</f>
      </c>
      <c r="L30" s="12">
        <f>INDEX($B$12:$K$12,1,'CAPEX'!L5)</f>
      </c>
      <c r="M30" s="12">
        <f>INDEX($B$12:$K$12,1,'CAPEX'!M5)</f>
      </c>
      <c r="N30" s="12">
        <f>INDEX($B$12:$K$12,1,'CAPEX'!N5)</f>
      </c>
      <c r="O30" s="12">
        <f>INDEX($B$12:$K$12,1,'CAPEX'!O5)</f>
      </c>
      <c r="P30" s="12">
        <f>INDEX($B$12:$K$12,1,'CAPEX'!P5)</f>
      </c>
      <c r="Q30" s="12">
        <f>INDEX($B$12:$K$12,1,'CAPEX'!Q5)</f>
      </c>
      <c r="R30" s="12">
        <f>INDEX($B$12:$K$12,1,'CAPEX'!R5)</f>
      </c>
      <c r="S30" s="12">
        <f>INDEX($B$12:$K$12,1,'CAPEX'!S5)</f>
      </c>
      <c r="T30" s="12">
        <f>INDEX($B$12:$K$12,1,'CAPEX'!T5)</f>
      </c>
      <c r="U30" s="12">
        <f>INDEX($B$12:$K$12,1,'CAPEX'!U5)</f>
      </c>
      <c r="V30" s="12">
        <f>INDEX($B$12:$K$12,1,'CAPEX'!V5)</f>
      </c>
      <c r="W30" s="12">
        <f>INDEX($B$12:$K$12,1,'CAPEX'!W5)</f>
      </c>
      <c r="X30" s="12">
        <f>INDEX($B$12:$K$12,1,'CAPEX'!X5)</f>
      </c>
      <c r="Y30" s="12">
        <f>INDEX($B$12:$K$12,1,'CAPEX'!Y5)</f>
      </c>
      <c r="Z30" s="12">
        <f>INDEX($B$12:$K$12,1,'CAPEX'!Z5)</f>
      </c>
      <c r="AA30" s="12">
        <f>INDEX($B$12:$K$12,1,'CAPEX'!AA5)</f>
      </c>
      <c r="AB30" s="12">
        <f>INDEX($B$12:$K$12,1,'CAPEX'!AB5)</f>
      </c>
      <c r="AC30" s="12">
        <f>INDEX($B$12:$K$12,1,'CAPEX'!AC5)</f>
      </c>
      <c r="AD30" s="12">
        <f>INDEX($B$12:$K$12,1,'CAPEX'!AD5)</f>
      </c>
      <c r="AE30" s="12">
        <f>INDEX($B$12:$K$12,1,'CAPEX'!AE5)</f>
      </c>
      <c r="AF30" s="12">
        <f>INDEX($B$12:$K$12,1,'CAPEX'!AF5)</f>
      </c>
      <c r="AG30" s="12">
        <f>INDEX($B$12:$K$12,1,'CAPEX'!AG5)</f>
      </c>
      <c r="AH30" s="12">
        <f>INDEX($B$12:$K$12,1,'CAPEX'!AH5)</f>
      </c>
      <c r="AI30" s="12">
        <f>INDEX($B$12:$K$12,1,'CAPEX'!AI5)</f>
      </c>
      <c r="AJ30" s="12">
        <f>INDEX($B$12:$K$12,1,'CAPEX'!AJ5)</f>
      </c>
      <c r="AK30" s="12">
        <f>INDEX($B$12:$K$12,1,'CAPEX'!AK5)</f>
      </c>
      <c r="AL30" s="12">
        <f>INDEX($B$12:$K$12,1,'CAPEX'!AL5)</f>
      </c>
      <c r="AM30" s="12">
        <f>INDEX($B$12:$K$12,1,'CAPEX'!AM5)</f>
      </c>
      <c r="AN30" s="12">
        <f>INDEX($B$12:$K$12,1,'CAPEX'!AN5)</f>
      </c>
      <c r="AO30" s="12">
        <f>INDEX($B$12:$K$12,1,'CAPEX'!AO5)</f>
      </c>
      <c r="AP30" s="12">
        <f>INDEX($B$12:$K$12,1,'CAPEX'!AP5)</f>
      </c>
      <c r="AQ30" s="12">
        <f>INDEX($B$12:$K$12,1,'CAPEX'!AQ5)</f>
      </c>
      <c r="AR30" s="12">
        <f>INDEX($B$12:$K$12,1,'CAPEX'!AR5)</f>
      </c>
    </row>
    <row r="31" spans="1:44" x14ac:dyDescent="0.25">
      <c r="A31" t="s">
        <v>108</v>
      </c>
      <c r="B31" s="12">
        <f>INDEX($B$13:$K$13,1,'CAPEX'!B5)</f>
      </c>
      <c r="C31" s="12">
        <f>INDEX($B$13:$K$13,1,'CAPEX'!C5)</f>
      </c>
      <c r="D31" s="12">
        <f>INDEX($B$13:$K$13,1,'CAPEX'!D5)</f>
      </c>
      <c r="E31" s="12">
        <f>INDEX($B$13:$K$13,1,'CAPEX'!E5)</f>
      </c>
      <c r="F31" s="12">
        <f>INDEX($B$13:$K$13,1,'CAPEX'!F5)</f>
      </c>
      <c r="G31" s="12">
        <f>INDEX($B$13:$K$13,1,'CAPEX'!G5)</f>
      </c>
      <c r="H31" s="12">
        <f>INDEX($B$13:$K$13,1,'CAPEX'!H5)</f>
      </c>
      <c r="I31" s="12">
        <f>INDEX($B$13:$K$13,1,'CAPEX'!I5)</f>
      </c>
      <c r="J31" s="12">
        <f>INDEX($B$13:$K$13,1,'CAPEX'!J5)</f>
      </c>
      <c r="K31" s="12">
        <f>INDEX($B$13:$K$13,1,'CAPEX'!K5)</f>
      </c>
      <c r="L31" s="12">
        <f>INDEX($B$13:$K$13,1,'CAPEX'!L5)</f>
      </c>
      <c r="M31" s="12">
        <f>INDEX($B$13:$K$13,1,'CAPEX'!M5)</f>
      </c>
      <c r="N31" s="12">
        <f>INDEX($B$13:$K$13,1,'CAPEX'!N5)</f>
      </c>
      <c r="O31" s="12">
        <f>INDEX($B$13:$K$13,1,'CAPEX'!O5)</f>
      </c>
      <c r="P31" s="12">
        <f>INDEX($B$13:$K$13,1,'CAPEX'!P5)</f>
      </c>
      <c r="Q31" s="12">
        <f>INDEX($B$13:$K$13,1,'CAPEX'!Q5)</f>
      </c>
      <c r="R31" s="12">
        <f>INDEX($B$13:$K$13,1,'CAPEX'!R5)</f>
      </c>
      <c r="S31" s="12">
        <f>INDEX($B$13:$K$13,1,'CAPEX'!S5)</f>
      </c>
      <c r="T31" s="12">
        <f>INDEX($B$13:$K$13,1,'CAPEX'!T5)</f>
      </c>
      <c r="U31" s="12">
        <f>INDEX($B$13:$K$13,1,'CAPEX'!U5)</f>
      </c>
      <c r="V31" s="12">
        <f>INDEX($B$13:$K$13,1,'CAPEX'!V5)</f>
      </c>
      <c r="W31" s="12">
        <f>INDEX($B$13:$K$13,1,'CAPEX'!W5)</f>
      </c>
      <c r="X31" s="12">
        <f>INDEX($B$13:$K$13,1,'CAPEX'!X5)</f>
      </c>
      <c r="Y31" s="12">
        <f>INDEX($B$13:$K$13,1,'CAPEX'!Y5)</f>
      </c>
      <c r="Z31" s="12">
        <f>INDEX($B$13:$K$13,1,'CAPEX'!Z5)</f>
      </c>
      <c r="AA31" s="12">
        <f>INDEX($B$13:$K$13,1,'CAPEX'!AA5)</f>
      </c>
      <c r="AB31" s="12">
        <f>INDEX($B$13:$K$13,1,'CAPEX'!AB5)</f>
      </c>
      <c r="AC31" s="12">
        <f>INDEX($B$13:$K$13,1,'CAPEX'!AC5)</f>
      </c>
      <c r="AD31" s="12">
        <f>INDEX($B$13:$K$13,1,'CAPEX'!AD5)</f>
      </c>
      <c r="AE31" s="12">
        <f>INDEX($B$13:$K$13,1,'CAPEX'!AE5)</f>
      </c>
      <c r="AF31" s="12">
        <f>INDEX($B$13:$K$13,1,'CAPEX'!AF5)</f>
      </c>
      <c r="AG31" s="12">
        <f>INDEX($B$13:$K$13,1,'CAPEX'!AG5)</f>
      </c>
      <c r="AH31" s="12">
        <f>INDEX($B$13:$K$13,1,'CAPEX'!AH5)</f>
      </c>
      <c r="AI31" s="12">
        <f>INDEX($B$13:$K$13,1,'CAPEX'!AI5)</f>
      </c>
      <c r="AJ31" s="12">
        <f>INDEX($B$13:$K$13,1,'CAPEX'!AJ5)</f>
      </c>
      <c r="AK31" s="12">
        <f>INDEX($B$13:$K$13,1,'CAPEX'!AK5)</f>
      </c>
      <c r="AL31" s="12">
        <f>INDEX($B$13:$K$13,1,'CAPEX'!AL5)</f>
      </c>
      <c r="AM31" s="12">
        <f>INDEX($B$13:$K$13,1,'CAPEX'!AM5)</f>
      </c>
      <c r="AN31" s="12">
        <f>INDEX($B$13:$K$13,1,'CAPEX'!AN5)</f>
      </c>
      <c r="AO31" s="12">
        <f>INDEX($B$13:$K$13,1,'CAPEX'!AO5)</f>
      </c>
      <c r="AP31" s="12">
        <f>INDEX($B$13:$K$13,1,'CAPEX'!AP5)</f>
      </c>
      <c r="AQ31" s="12">
        <f>INDEX($B$13:$K$13,1,'CAPEX'!AQ5)</f>
      </c>
      <c r="AR31" s="12">
        <f>INDEX($B$13:$K$13,1,'CAPEX'!AR5)</f>
      </c>
    </row>
    <row r="32" spans="1:44" x14ac:dyDescent="0.25">
      <c r="A32" t="s">
        <v>109</v>
      </c>
      <c r="B32" s="12">
        <f>INDEX($B$14:$K$14,1,'CAPEX'!B5)</f>
      </c>
      <c r="C32" s="12">
        <f>INDEX($B$14:$K$14,1,'CAPEX'!C5)</f>
      </c>
      <c r="D32" s="12">
        <f>INDEX($B$14:$K$14,1,'CAPEX'!D5)</f>
      </c>
      <c r="E32" s="12">
        <f>INDEX($B$14:$K$14,1,'CAPEX'!E5)</f>
      </c>
      <c r="F32" s="12">
        <f>INDEX($B$14:$K$14,1,'CAPEX'!F5)</f>
      </c>
      <c r="G32" s="12">
        <f>INDEX($B$14:$K$14,1,'CAPEX'!G5)</f>
      </c>
      <c r="H32" s="12">
        <f>INDEX($B$14:$K$14,1,'CAPEX'!H5)</f>
      </c>
      <c r="I32" s="12">
        <f>INDEX($B$14:$K$14,1,'CAPEX'!I5)</f>
      </c>
      <c r="J32" s="12">
        <f>INDEX($B$14:$K$14,1,'CAPEX'!J5)</f>
      </c>
      <c r="K32" s="12">
        <f>INDEX($B$14:$K$14,1,'CAPEX'!K5)</f>
      </c>
      <c r="L32" s="12">
        <f>INDEX($B$14:$K$14,1,'CAPEX'!L5)</f>
      </c>
      <c r="M32" s="12">
        <f>INDEX($B$14:$K$14,1,'CAPEX'!M5)</f>
      </c>
      <c r="N32" s="12">
        <f>INDEX($B$14:$K$14,1,'CAPEX'!N5)</f>
      </c>
      <c r="O32" s="12">
        <f>INDEX($B$14:$K$14,1,'CAPEX'!O5)</f>
      </c>
      <c r="P32" s="12">
        <f>INDEX($B$14:$K$14,1,'CAPEX'!P5)</f>
      </c>
      <c r="Q32" s="12">
        <f>INDEX($B$14:$K$14,1,'CAPEX'!Q5)</f>
      </c>
      <c r="R32" s="12">
        <f>INDEX($B$14:$K$14,1,'CAPEX'!R5)</f>
      </c>
      <c r="S32" s="12">
        <f>INDEX($B$14:$K$14,1,'CAPEX'!S5)</f>
      </c>
      <c r="T32" s="12">
        <f>INDEX($B$14:$K$14,1,'CAPEX'!T5)</f>
      </c>
      <c r="U32" s="12">
        <f>INDEX($B$14:$K$14,1,'CAPEX'!U5)</f>
      </c>
      <c r="V32" s="12">
        <f>INDEX($B$14:$K$14,1,'CAPEX'!V5)</f>
      </c>
      <c r="W32" s="12">
        <f>INDEX($B$14:$K$14,1,'CAPEX'!W5)</f>
      </c>
      <c r="X32" s="12">
        <f>INDEX($B$14:$K$14,1,'CAPEX'!X5)</f>
      </c>
      <c r="Y32" s="12">
        <f>INDEX($B$14:$K$14,1,'CAPEX'!Y5)</f>
      </c>
      <c r="Z32" s="12">
        <f>INDEX($B$14:$K$14,1,'CAPEX'!Z5)</f>
      </c>
      <c r="AA32" s="12">
        <f>INDEX($B$14:$K$14,1,'CAPEX'!AA5)</f>
      </c>
      <c r="AB32" s="12">
        <f>INDEX($B$14:$K$14,1,'CAPEX'!AB5)</f>
      </c>
      <c r="AC32" s="12">
        <f>INDEX($B$14:$K$14,1,'CAPEX'!AC5)</f>
      </c>
      <c r="AD32" s="12">
        <f>INDEX($B$14:$K$14,1,'CAPEX'!AD5)</f>
      </c>
      <c r="AE32" s="12">
        <f>INDEX($B$14:$K$14,1,'CAPEX'!AE5)</f>
      </c>
      <c r="AF32" s="12">
        <f>INDEX($B$14:$K$14,1,'CAPEX'!AF5)</f>
      </c>
      <c r="AG32" s="12">
        <f>INDEX($B$14:$K$14,1,'CAPEX'!AG5)</f>
      </c>
      <c r="AH32" s="12">
        <f>INDEX($B$14:$K$14,1,'CAPEX'!AH5)</f>
      </c>
      <c r="AI32" s="12">
        <f>INDEX($B$14:$K$14,1,'CAPEX'!AI5)</f>
      </c>
      <c r="AJ32" s="12">
        <f>INDEX($B$14:$K$14,1,'CAPEX'!AJ5)</f>
      </c>
      <c r="AK32" s="12">
        <f>INDEX($B$14:$K$14,1,'CAPEX'!AK5)</f>
      </c>
      <c r="AL32" s="12">
        <f>INDEX($B$14:$K$14,1,'CAPEX'!AL5)</f>
      </c>
      <c r="AM32" s="12">
        <f>INDEX($B$14:$K$14,1,'CAPEX'!AM5)</f>
      </c>
      <c r="AN32" s="12">
        <f>INDEX($B$14:$K$14,1,'CAPEX'!AN5)</f>
      </c>
      <c r="AO32" s="12">
        <f>INDEX($B$14:$K$14,1,'CAPEX'!AO5)</f>
      </c>
      <c r="AP32" s="12">
        <f>INDEX($B$14:$K$14,1,'CAPEX'!AP5)</f>
      </c>
      <c r="AQ32" s="12">
        <f>INDEX($B$14:$K$14,1,'CAPEX'!AQ5)</f>
      </c>
      <c r="AR32" s="12">
        <f>INDEX($B$14:$K$14,1,'CAPEX'!AR5)</f>
      </c>
    </row>
    <row r="33" spans="1:44" x14ac:dyDescent="0.25">
      <c r="A33" t="s">
        <v>110</v>
      </c>
      <c r="B33" s="13">
        <f>INDEX($B$15:$K$15,1,'CAPEX'!B5)</f>
      </c>
      <c r="C33" s="13">
        <f>INDEX($B$15:$K$15,1,'CAPEX'!C5)</f>
      </c>
      <c r="D33" s="13">
        <f>INDEX($B$15:$K$15,1,'CAPEX'!D5)</f>
      </c>
      <c r="E33" s="13">
        <f>INDEX($B$15:$K$15,1,'CAPEX'!E5)</f>
      </c>
      <c r="F33" s="13">
        <f>INDEX($B$15:$K$15,1,'CAPEX'!F5)</f>
      </c>
      <c r="G33" s="13">
        <f>INDEX($B$15:$K$15,1,'CAPEX'!G5)</f>
      </c>
      <c r="H33" s="13">
        <f>INDEX($B$15:$K$15,1,'CAPEX'!H5)</f>
      </c>
      <c r="I33" s="13">
        <f>INDEX($B$15:$K$15,1,'CAPEX'!I5)</f>
      </c>
      <c r="J33" s="13">
        <f>INDEX($B$15:$K$15,1,'CAPEX'!J5)</f>
      </c>
      <c r="K33" s="13">
        <f>INDEX($B$15:$K$15,1,'CAPEX'!K5)</f>
      </c>
      <c r="L33" s="13">
        <f>INDEX($B$15:$K$15,1,'CAPEX'!L5)</f>
      </c>
      <c r="M33" s="13">
        <f>INDEX($B$15:$K$15,1,'CAPEX'!M5)</f>
      </c>
      <c r="N33" s="13">
        <f>INDEX($B$15:$K$15,1,'CAPEX'!N5)</f>
      </c>
      <c r="O33" s="13">
        <f>INDEX($B$15:$K$15,1,'CAPEX'!O5)</f>
      </c>
      <c r="P33" s="13">
        <f>INDEX($B$15:$K$15,1,'CAPEX'!P5)</f>
      </c>
      <c r="Q33" s="13">
        <f>INDEX($B$15:$K$15,1,'CAPEX'!Q5)</f>
      </c>
      <c r="R33" s="13">
        <f>INDEX($B$15:$K$15,1,'CAPEX'!R5)</f>
      </c>
      <c r="S33" s="13">
        <f>INDEX($B$15:$K$15,1,'CAPEX'!S5)</f>
      </c>
      <c r="T33" s="13">
        <f>INDEX($B$15:$K$15,1,'CAPEX'!T5)</f>
      </c>
      <c r="U33" s="13">
        <f>INDEX($B$15:$K$15,1,'CAPEX'!U5)</f>
      </c>
      <c r="V33" s="13">
        <f>INDEX($B$15:$K$15,1,'CAPEX'!V5)</f>
      </c>
      <c r="W33" s="13">
        <f>INDEX($B$15:$K$15,1,'CAPEX'!W5)</f>
      </c>
      <c r="X33" s="13">
        <f>INDEX($B$15:$K$15,1,'CAPEX'!X5)</f>
      </c>
      <c r="Y33" s="13">
        <f>INDEX($B$15:$K$15,1,'CAPEX'!Y5)</f>
      </c>
      <c r="Z33" s="13">
        <f>INDEX($B$15:$K$15,1,'CAPEX'!Z5)</f>
      </c>
      <c r="AA33" s="13">
        <f>INDEX($B$15:$K$15,1,'CAPEX'!AA5)</f>
      </c>
      <c r="AB33" s="13">
        <f>INDEX($B$15:$K$15,1,'CAPEX'!AB5)</f>
      </c>
      <c r="AC33" s="13">
        <f>INDEX($B$15:$K$15,1,'CAPEX'!AC5)</f>
      </c>
      <c r="AD33" s="13">
        <f>INDEX($B$15:$K$15,1,'CAPEX'!AD5)</f>
      </c>
      <c r="AE33" s="13">
        <f>INDEX($B$15:$K$15,1,'CAPEX'!AE5)</f>
      </c>
      <c r="AF33" s="13">
        <f>INDEX($B$15:$K$15,1,'CAPEX'!AF5)</f>
      </c>
      <c r="AG33" s="13">
        <f>INDEX($B$15:$K$15,1,'CAPEX'!AG5)</f>
      </c>
      <c r="AH33" s="13">
        <f>INDEX($B$15:$K$15,1,'CAPEX'!AH5)</f>
      </c>
      <c r="AI33" s="13">
        <f>INDEX($B$15:$K$15,1,'CAPEX'!AI5)</f>
      </c>
      <c r="AJ33" s="13">
        <f>INDEX($B$15:$K$15,1,'CAPEX'!AJ5)</f>
      </c>
      <c r="AK33" s="13">
        <f>INDEX($B$15:$K$15,1,'CAPEX'!AK5)</f>
      </c>
      <c r="AL33" s="13">
        <f>INDEX($B$15:$K$15,1,'CAPEX'!AL5)</f>
      </c>
      <c r="AM33" s="13">
        <f>INDEX($B$15:$K$15,1,'CAPEX'!AM5)</f>
      </c>
      <c r="AN33" s="13">
        <f>INDEX($B$15:$K$15,1,'CAPEX'!AN5)</f>
      </c>
      <c r="AO33" s="13">
        <f>INDEX($B$15:$K$15,1,'CAPEX'!AO5)</f>
      </c>
      <c r="AP33" s="13">
        <f>INDEX($B$15:$K$15,1,'CAPEX'!AP5)</f>
      </c>
      <c r="AQ33" s="13">
        <f>INDEX($B$15:$K$15,1,'CAPEX'!AQ5)</f>
      </c>
      <c r="AR33" s="13">
        <f>INDEX($B$15:$K$15,1,'CAPEX'!AR5)</f>
      </c>
    </row>
    <row r="34" spans="1:44" x14ac:dyDescent="0.25">
      <c r="A34" t="s">
        <v>111</v>
      </c>
      <c r="B34" s="12">
        <f>INDEX($B$16:$K$16,1,'CAPEX'!B5)</f>
      </c>
      <c r="C34" s="12">
        <f>INDEX($B$16:$K$16,1,'CAPEX'!C5)</f>
      </c>
      <c r="D34" s="12">
        <f>INDEX($B$16:$K$16,1,'CAPEX'!D5)</f>
      </c>
      <c r="E34" s="12">
        <f>INDEX($B$16:$K$16,1,'CAPEX'!E5)</f>
      </c>
      <c r="F34" s="12">
        <f>INDEX($B$16:$K$16,1,'CAPEX'!F5)</f>
      </c>
      <c r="G34" s="12">
        <f>INDEX($B$16:$K$16,1,'CAPEX'!G5)</f>
      </c>
      <c r="H34" s="12">
        <f>INDEX($B$16:$K$16,1,'CAPEX'!H5)</f>
      </c>
      <c r="I34" s="12">
        <f>INDEX($B$16:$K$16,1,'CAPEX'!I5)</f>
      </c>
      <c r="J34" s="12">
        <f>INDEX($B$16:$K$16,1,'CAPEX'!J5)</f>
      </c>
      <c r="K34" s="12">
        <f>INDEX($B$16:$K$16,1,'CAPEX'!K5)</f>
      </c>
      <c r="L34" s="12">
        <f>INDEX($B$16:$K$16,1,'CAPEX'!L5)</f>
      </c>
      <c r="M34" s="12">
        <f>INDEX($B$16:$K$16,1,'CAPEX'!M5)</f>
      </c>
      <c r="N34" s="12">
        <f>INDEX($B$16:$K$16,1,'CAPEX'!N5)</f>
      </c>
      <c r="O34" s="12">
        <f>INDEX($B$16:$K$16,1,'CAPEX'!O5)</f>
      </c>
      <c r="P34" s="12">
        <f>INDEX($B$16:$K$16,1,'CAPEX'!P5)</f>
      </c>
      <c r="Q34" s="12">
        <f>INDEX($B$16:$K$16,1,'CAPEX'!Q5)</f>
      </c>
      <c r="R34" s="12">
        <f>INDEX($B$16:$K$16,1,'CAPEX'!R5)</f>
      </c>
      <c r="S34" s="12">
        <f>INDEX($B$16:$K$16,1,'CAPEX'!S5)</f>
      </c>
      <c r="T34" s="12">
        <f>INDEX($B$16:$K$16,1,'CAPEX'!T5)</f>
      </c>
      <c r="U34" s="12">
        <f>INDEX($B$16:$K$16,1,'CAPEX'!U5)</f>
      </c>
      <c r="V34" s="12">
        <f>INDEX($B$16:$K$16,1,'CAPEX'!V5)</f>
      </c>
      <c r="W34" s="12">
        <f>INDEX($B$16:$K$16,1,'CAPEX'!W5)</f>
      </c>
      <c r="X34" s="12">
        <f>INDEX($B$16:$K$16,1,'CAPEX'!X5)</f>
      </c>
      <c r="Y34" s="12">
        <f>INDEX($B$16:$K$16,1,'CAPEX'!Y5)</f>
      </c>
      <c r="Z34" s="12">
        <f>INDEX($B$16:$K$16,1,'CAPEX'!Z5)</f>
      </c>
      <c r="AA34" s="12">
        <f>INDEX($B$16:$K$16,1,'CAPEX'!AA5)</f>
      </c>
      <c r="AB34" s="12">
        <f>INDEX($B$16:$K$16,1,'CAPEX'!AB5)</f>
      </c>
      <c r="AC34" s="12">
        <f>INDEX($B$16:$K$16,1,'CAPEX'!AC5)</f>
      </c>
      <c r="AD34" s="12">
        <f>INDEX($B$16:$K$16,1,'CAPEX'!AD5)</f>
      </c>
      <c r="AE34" s="12">
        <f>INDEX($B$16:$K$16,1,'CAPEX'!AE5)</f>
      </c>
      <c r="AF34" s="12">
        <f>INDEX($B$16:$K$16,1,'CAPEX'!AF5)</f>
      </c>
      <c r="AG34" s="12">
        <f>INDEX($B$16:$K$16,1,'CAPEX'!AG5)</f>
      </c>
      <c r="AH34" s="12">
        <f>INDEX($B$16:$K$16,1,'CAPEX'!AH5)</f>
      </c>
      <c r="AI34" s="12">
        <f>INDEX($B$16:$K$16,1,'CAPEX'!AI5)</f>
      </c>
      <c r="AJ34" s="12">
        <f>INDEX($B$16:$K$16,1,'CAPEX'!AJ5)</f>
      </c>
      <c r="AK34" s="12">
        <f>INDEX($B$16:$K$16,1,'CAPEX'!AK5)</f>
      </c>
      <c r="AL34" s="12">
        <f>INDEX($B$16:$K$16,1,'CAPEX'!AL5)</f>
      </c>
      <c r="AM34" s="12">
        <f>INDEX($B$16:$K$16,1,'CAPEX'!AM5)</f>
      </c>
      <c r="AN34" s="12">
        <f>INDEX($B$16:$K$16,1,'CAPEX'!AN5)</f>
      </c>
      <c r="AO34" s="12">
        <f>INDEX($B$16:$K$16,1,'CAPEX'!AO5)</f>
      </c>
      <c r="AP34" s="12">
        <f>INDEX($B$16:$K$16,1,'CAPEX'!AP5)</f>
      </c>
      <c r="AQ34" s="12">
        <f>INDEX($B$16:$K$16,1,'CAPEX'!AQ5)</f>
      </c>
      <c r="AR34" s="12">
        <f>INDEX($B$16:$K$16,1,'CAPEX'!AR5)</f>
      </c>
    </row>
    <row r="35" spans="1:44" x14ac:dyDescent="0.25">
      <c r="A35" t="s">
        <v>112</v>
      </c>
      <c r="B35" s="13">
        <f>INDEX($B$17:$K$17,1,'CAPEX'!B5)</f>
      </c>
      <c r="C35" s="13">
        <f>INDEX($B$17:$K$17,1,'CAPEX'!C5)</f>
      </c>
      <c r="D35" s="13">
        <f>INDEX($B$17:$K$17,1,'CAPEX'!D5)</f>
      </c>
      <c r="E35" s="13">
        <f>INDEX($B$17:$K$17,1,'CAPEX'!E5)</f>
      </c>
      <c r="F35" s="13">
        <f>INDEX($B$17:$K$17,1,'CAPEX'!F5)</f>
      </c>
      <c r="G35" s="13">
        <f>INDEX($B$17:$K$17,1,'CAPEX'!G5)</f>
      </c>
      <c r="H35" s="13">
        <f>INDEX($B$17:$K$17,1,'CAPEX'!H5)</f>
      </c>
      <c r="I35" s="13">
        <f>INDEX($B$17:$K$17,1,'CAPEX'!I5)</f>
      </c>
      <c r="J35" s="13">
        <f>INDEX($B$17:$K$17,1,'CAPEX'!J5)</f>
      </c>
      <c r="K35" s="13">
        <f>INDEX($B$17:$K$17,1,'CAPEX'!K5)</f>
      </c>
      <c r="L35" s="13">
        <f>INDEX($B$17:$K$17,1,'CAPEX'!L5)</f>
      </c>
      <c r="M35" s="13">
        <f>INDEX($B$17:$K$17,1,'CAPEX'!M5)</f>
      </c>
      <c r="N35" s="13">
        <f>INDEX($B$17:$K$17,1,'CAPEX'!N5)</f>
      </c>
      <c r="O35" s="13">
        <f>INDEX($B$17:$K$17,1,'CAPEX'!O5)</f>
      </c>
      <c r="P35" s="13">
        <f>INDEX($B$17:$K$17,1,'CAPEX'!P5)</f>
      </c>
      <c r="Q35" s="13">
        <f>INDEX($B$17:$K$17,1,'CAPEX'!Q5)</f>
      </c>
      <c r="R35" s="13">
        <f>INDEX($B$17:$K$17,1,'CAPEX'!R5)</f>
      </c>
      <c r="S35" s="13">
        <f>INDEX($B$17:$K$17,1,'CAPEX'!S5)</f>
      </c>
      <c r="T35" s="13">
        <f>INDEX($B$17:$K$17,1,'CAPEX'!T5)</f>
      </c>
      <c r="U35" s="13">
        <f>INDEX($B$17:$K$17,1,'CAPEX'!U5)</f>
      </c>
      <c r="V35" s="13">
        <f>INDEX($B$17:$K$17,1,'CAPEX'!V5)</f>
      </c>
      <c r="W35" s="13">
        <f>INDEX($B$17:$K$17,1,'CAPEX'!W5)</f>
      </c>
      <c r="X35" s="13">
        <f>INDEX($B$17:$K$17,1,'CAPEX'!X5)</f>
      </c>
      <c r="Y35" s="13">
        <f>INDEX($B$17:$K$17,1,'CAPEX'!Y5)</f>
      </c>
      <c r="Z35" s="13">
        <f>INDEX($B$17:$K$17,1,'CAPEX'!Z5)</f>
      </c>
      <c r="AA35" s="13">
        <f>INDEX($B$17:$K$17,1,'CAPEX'!AA5)</f>
      </c>
      <c r="AB35" s="13">
        <f>INDEX($B$17:$K$17,1,'CAPEX'!AB5)</f>
      </c>
      <c r="AC35" s="13">
        <f>INDEX($B$17:$K$17,1,'CAPEX'!AC5)</f>
      </c>
      <c r="AD35" s="13">
        <f>INDEX($B$17:$K$17,1,'CAPEX'!AD5)</f>
      </c>
      <c r="AE35" s="13">
        <f>INDEX($B$17:$K$17,1,'CAPEX'!AE5)</f>
      </c>
      <c r="AF35" s="13">
        <f>INDEX($B$17:$K$17,1,'CAPEX'!AF5)</f>
      </c>
      <c r="AG35" s="13">
        <f>INDEX($B$17:$K$17,1,'CAPEX'!AG5)</f>
      </c>
      <c r="AH35" s="13">
        <f>INDEX($B$17:$K$17,1,'CAPEX'!AH5)</f>
      </c>
      <c r="AI35" s="13">
        <f>INDEX($B$17:$K$17,1,'CAPEX'!AI5)</f>
      </c>
      <c r="AJ35" s="13">
        <f>INDEX($B$17:$K$17,1,'CAPEX'!AJ5)</f>
      </c>
      <c r="AK35" s="13">
        <f>INDEX($B$17:$K$17,1,'CAPEX'!AK5)</f>
      </c>
      <c r="AL35" s="13">
        <f>INDEX($B$17:$K$17,1,'CAPEX'!AL5)</f>
      </c>
      <c r="AM35" s="13">
        <f>INDEX($B$17:$K$17,1,'CAPEX'!AM5)</f>
      </c>
      <c r="AN35" s="13">
        <f>INDEX($B$17:$K$17,1,'CAPEX'!AN5)</f>
      </c>
      <c r="AO35" s="13">
        <f>INDEX($B$17:$K$17,1,'CAPEX'!AO5)</f>
      </c>
      <c r="AP35" s="13">
        <f>INDEX($B$17:$K$17,1,'CAPEX'!AP5)</f>
      </c>
      <c r="AQ35" s="13">
        <f>INDEX($B$17:$K$17,1,'CAPEX'!AQ5)</f>
      </c>
      <c r="AR35" s="13">
        <f>INDEX($B$17:$K$17,1,'CAPEX'!AR5)</f>
      </c>
    </row>
    <row r="36" spans="1:44" x14ac:dyDescent="0.25">
      <c r="A36" t="s">
        <v>113</v>
      </c>
      <c r="B36" s="12">
        <f>INDEX($B$18:$K$18,1,'CAPEX'!B5)</f>
      </c>
      <c r="C36" s="12">
        <f>INDEX($B$18:$K$18,1,'CAPEX'!C5)</f>
      </c>
      <c r="D36" s="12">
        <f>INDEX($B$18:$K$18,1,'CAPEX'!D5)</f>
      </c>
      <c r="E36" s="12">
        <f>INDEX($B$18:$K$18,1,'CAPEX'!E5)</f>
      </c>
      <c r="F36" s="12">
        <f>INDEX($B$18:$K$18,1,'CAPEX'!F5)</f>
      </c>
      <c r="G36" s="12">
        <f>INDEX($B$18:$K$18,1,'CAPEX'!G5)</f>
      </c>
      <c r="H36" s="12">
        <f>INDEX($B$18:$K$18,1,'CAPEX'!H5)</f>
      </c>
      <c r="I36" s="12">
        <f>INDEX($B$18:$K$18,1,'CAPEX'!I5)</f>
      </c>
      <c r="J36" s="12">
        <f>INDEX($B$18:$K$18,1,'CAPEX'!J5)</f>
      </c>
      <c r="K36" s="12">
        <f>INDEX($B$18:$K$18,1,'CAPEX'!K5)</f>
      </c>
      <c r="L36" s="12">
        <f>INDEX($B$18:$K$18,1,'CAPEX'!L5)</f>
      </c>
      <c r="M36" s="12">
        <f>INDEX($B$18:$K$18,1,'CAPEX'!M5)</f>
      </c>
      <c r="N36" s="12">
        <f>INDEX($B$18:$K$18,1,'CAPEX'!N5)</f>
      </c>
      <c r="O36" s="12">
        <f>INDEX($B$18:$K$18,1,'CAPEX'!O5)</f>
      </c>
      <c r="P36" s="12">
        <f>INDEX($B$18:$K$18,1,'CAPEX'!P5)</f>
      </c>
      <c r="Q36" s="12">
        <f>INDEX($B$18:$K$18,1,'CAPEX'!Q5)</f>
      </c>
      <c r="R36" s="12">
        <f>INDEX($B$18:$K$18,1,'CAPEX'!R5)</f>
      </c>
      <c r="S36" s="12">
        <f>INDEX($B$18:$K$18,1,'CAPEX'!S5)</f>
      </c>
      <c r="T36" s="12">
        <f>INDEX($B$18:$K$18,1,'CAPEX'!T5)</f>
      </c>
      <c r="U36" s="12">
        <f>INDEX($B$18:$K$18,1,'CAPEX'!U5)</f>
      </c>
      <c r="V36" s="12">
        <f>INDEX($B$18:$K$18,1,'CAPEX'!V5)</f>
      </c>
      <c r="W36" s="12">
        <f>INDEX($B$18:$K$18,1,'CAPEX'!W5)</f>
      </c>
      <c r="X36" s="12">
        <f>INDEX($B$18:$K$18,1,'CAPEX'!X5)</f>
      </c>
      <c r="Y36" s="12">
        <f>INDEX($B$18:$K$18,1,'CAPEX'!Y5)</f>
      </c>
      <c r="Z36" s="12">
        <f>INDEX($B$18:$K$18,1,'CAPEX'!Z5)</f>
      </c>
      <c r="AA36" s="12">
        <f>INDEX($B$18:$K$18,1,'CAPEX'!AA5)</f>
      </c>
      <c r="AB36" s="12">
        <f>INDEX($B$18:$K$18,1,'CAPEX'!AB5)</f>
      </c>
      <c r="AC36" s="12">
        <f>INDEX($B$18:$K$18,1,'CAPEX'!AC5)</f>
      </c>
      <c r="AD36" s="12">
        <f>INDEX($B$18:$K$18,1,'CAPEX'!AD5)</f>
      </c>
      <c r="AE36" s="12">
        <f>INDEX($B$18:$K$18,1,'CAPEX'!AE5)</f>
      </c>
      <c r="AF36" s="12">
        <f>INDEX($B$18:$K$18,1,'CAPEX'!AF5)</f>
      </c>
      <c r="AG36" s="12">
        <f>INDEX($B$18:$K$18,1,'CAPEX'!AG5)</f>
      </c>
      <c r="AH36" s="12">
        <f>INDEX($B$18:$K$18,1,'CAPEX'!AH5)</f>
      </c>
      <c r="AI36" s="12">
        <f>INDEX($B$18:$K$18,1,'CAPEX'!AI5)</f>
      </c>
      <c r="AJ36" s="12">
        <f>INDEX($B$18:$K$18,1,'CAPEX'!AJ5)</f>
      </c>
      <c r="AK36" s="12">
        <f>INDEX($B$18:$K$18,1,'CAPEX'!AK5)</f>
      </c>
      <c r="AL36" s="12">
        <f>INDEX($B$18:$K$18,1,'CAPEX'!AL5)</f>
      </c>
      <c r="AM36" s="12">
        <f>INDEX($B$18:$K$18,1,'CAPEX'!AM5)</f>
      </c>
      <c r="AN36" s="12">
        <f>INDEX($B$18:$K$18,1,'CAPEX'!AN5)</f>
      </c>
      <c r="AO36" s="12">
        <f>INDEX($B$18:$K$18,1,'CAPEX'!AO5)</f>
      </c>
      <c r="AP36" s="12">
        <f>INDEX($B$18:$K$18,1,'CAPEX'!AP5)</f>
      </c>
      <c r="AQ36" s="12">
        <f>INDEX($B$18:$K$18,1,'CAPEX'!AQ5)</f>
      </c>
      <c r="AR36" s="12">
        <f>INDEX($B$18:$K$18,1,'CAPEX'!AR5)</f>
      </c>
    </row>
    <row r="37" spans="1:44" x14ac:dyDescent="0.25">
      <c r="A37" t="s">
        <v>114</v>
      </c>
      <c r="B37" s="2">
        <f>INDEX($B$19:$K$19,1,'CAPEX'!B5)</f>
      </c>
      <c r="C37" s="2">
        <f>INDEX($B$19:$K$19,1,'CAPEX'!C5)</f>
      </c>
      <c r="D37" s="2">
        <f>INDEX($B$19:$K$19,1,'CAPEX'!D5)</f>
      </c>
      <c r="E37" s="2">
        <f>INDEX($B$19:$K$19,1,'CAPEX'!E5)</f>
      </c>
      <c r="F37" s="2">
        <f>INDEX($B$19:$K$19,1,'CAPEX'!F5)</f>
      </c>
      <c r="G37" s="2">
        <f>INDEX($B$19:$K$19,1,'CAPEX'!G5)</f>
      </c>
      <c r="H37" s="2">
        <f>INDEX($B$19:$K$19,1,'CAPEX'!H5)</f>
      </c>
      <c r="I37" s="2">
        <f>INDEX($B$19:$K$19,1,'CAPEX'!I5)</f>
      </c>
      <c r="J37" s="2">
        <f>INDEX($B$19:$K$19,1,'CAPEX'!J5)</f>
      </c>
      <c r="K37" s="2">
        <f>INDEX($B$19:$K$19,1,'CAPEX'!K5)</f>
      </c>
      <c r="L37" s="2">
        <f>INDEX($B$19:$K$19,1,'CAPEX'!L5)</f>
      </c>
      <c r="M37" s="2">
        <f>INDEX($B$19:$K$19,1,'CAPEX'!M5)</f>
      </c>
      <c r="N37" s="2">
        <f>INDEX($B$19:$K$19,1,'CAPEX'!N5)</f>
      </c>
      <c r="O37" s="2">
        <f>INDEX($B$19:$K$19,1,'CAPEX'!O5)</f>
      </c>
      <c r="P37" s="2">
        <f>INDEX($B$19:$K$19,1,'CAPEX'!P5)</f>
      </c>
      <c r="Q37" s="2">
        <f>INDEX($B$19:$K$19,1,'CAPEX'!Q5)</f>
      </c>
      <c r="R37" s="2">
        <f>INDEX($B$19:$K$19,1,'CAPEX'!R5)</f>
      </c>
      <c r="S37" s="2">
        <f>INDEX($B$19:$K$19,1,'CAPEX'!S5)</f>
      </c>
      <c r="T37" s="2">
        <f>INDEX($B$19:$K$19,1,'CAPEX'!T5)</f>
      </c>
      <c r="U37" s="2">
        <f>INDEX($B$19:$K$19,1,'CAPEX'!U5)</f>
      </c>
      <c r="V37" s="2">
        <f>INDEX($B$19:$K$19,1,'CAPEX'!V5)</f>
      </c>
      <c r="W37" s="2">
        <f>INDEX($B$19:$K$19,1,'CAPEX'!W5)</f>
      </c>
      <c r="X37" s="2">
        <f>INDEX($B$19:$K$19,1,'CAPEX'!X5)</f>
      </c>
      <c r="Y37" s="2">
        <f>INDEX($B$19:$K$19,1,'CAPEX'!Y5)</f>
      </c>
      <c r="Z37" s="2">
        <f>INDEX($B$19:$K$19,1,'CAPEX'!Z5)</f>
      </c>
      <c r="AA37" s="2">
        <f>INDEX($B$19:$K$19,1,'CAPEX'!AA5)</f>
      </c>
      <c r="AB37" s="2">
        <f>INDEX($B$19:$K$19,1,'CAPEX'!AB5)</f>
      </c>
      <c r="AC37" s="2">
        <f>INDEX($B$19:$K$19,1,'CAPEX'!AC5)</f>
      </c>
      <c r="AD37" s="2">
        <f>INDEX($B$19:$K$19,1,'CAPEX'!AD5)</f>
      </c>
      <c r="AE37" s="2">
        <f>INDEX($B$19:$K$19,1,'CAPEX'!AE5)</f>
      </c>
      <c r="AF37" s="2">
        <f>INDEX($B$19:$K$19,1,'CAPEX'!AF5)</f>
      </c>
      <c r="AG37" s="2">
        <f>INDEX($B$19:$K$19,1,'CAPEX'!AG5)</f>
      </c>
      <c r="AH37" s="2">
        <f>INDEX($B$19:$K$19,1,'CAPEX'!AH5)</f>
      </c>
      <c r="AI37" s="2">
        <f>INDEX($B$19:$K$19,1,'CAPEX'!AI5)</f>
      </c>
      <c r="AJ37" s="2">
        <f>INDEX($B$19:$K$19,1,'CAPEX'!AJ5)</f>
      </c>
      <c r="AK37" s="2">
        <f>INDEX($B$19:$K$19,1,'CAPEX'!AK5)</f>
      </c>
      <c r="AL37" s="2">
        <f>INDEX($B$19:$K$19,1,'CAPEX'!AL5)</f>
      </c>
      <c r="AM37" s="2">
        <f>INDEX($B$19:$K$19,1,'CAPEX'!AM5)</f>
      </c>
      <c r="AN37" s="2">
        <f>INDEX($B$19:$K$19,1,'CAPEX'!AN5)</f>
      </c>
      <c r="AO37" s="2">
        <f>INDEX($B$19:$K$19,1,'CAPEX'!AO5)</f>
      </c>
      <c r="AP37" s="2">
        <f>INDEX($B$19:$K$19,1,'CAPEX'!AP5)</f>
      </c>
      <c r="AQ37" s="2">
        <f>INDEX($B$19:$K$19,1,'CAPEX'!AQ5)</f>
      </c>
      <c r="AR37" s="2">
        <f>INDEX($B$19:$K$19,1,'CAPEX'!AR5)</f>
      </c>
    </row>
    <row r="38" spans="1:44" x14ac:dyDescent="0.25">
      <c r="A38" t="s">
        <v>116</v>
      </c>
      <c r="B38" s="14">
        <f>'UnitEcon'!B24*'UnitEcon'!B23/1000</f>
      </c>
      <c r="C38" s="14">
        <f>'UnitEcon'!C24*'UnitEcon'!C23/1000</f>
      </c>
      <c r="D38" s="14">
        <f>'UnitEcon'!D24*'UnitEcon'!D23/1000</f>
      </c>
      <c r="E38" s="14">
        <f>'UnitEcon'!E24*'UnitEcon'!E23/1000</f>
      </c>
      <c r="F38" s="14">
        <f>'UnitEcon'!F24*'UnitEcon'!F23/1000</f>
      </c>
      <c r="G38" s="14">
        <f>'UnitEcon'!G24*'UnitEcon'!G23/1000</f>
      </c>
      <c r="H38" s="14">
        <f>'UnitEcon'!H24*'UnitEcon'!H23/1000</f>
      </c>
      <c r="I38" s="14">
        <f>'UnitEcon'!I24*'UnitEcon'!I23/1000</f>
      </c>
      <c r="J38" s="14">
        <f>'UnitEcon'!J24*'UnitEcon'!J23/1000</f>
      </c>
      <c r="K38" s="14">
        <f>'UnitEcon'!K24*'UnitEcon'!K23/1000</f>
      </c>
      <c r="L38" s="14">
        <f>'UnitEcon'!L24*'UnitEcon'!L23/1000</f>
      </c>
      <c r="M38" s="14">
        <f>'UnitEcon'!M24*'UnitEcon'!M23/1000</f>
      </c>
      <c r="N38" s="14">
        <f>'UnitEcon'!N24*'UnitEcon'!N23/1000</f>
      </c>
      <c r="O38" s="14">
        <f>'UnitEcon'!O24*'UnitEcon'!O23/1000</f>
      </c>
      <c r="P38" s="14">
        <f>'UnitEcon'!P24*'UnitEcon'!P23/1000</f>
      </c>
      <c r="Q38" s="14">
        <f>'UnitEcon'!Q24*'UnitEcon'!Q23/1000</f>
      </c>
      <c r="R38" s="14">
        <f>'UnitEcon'!R24*'UnitEcon'!R23/1000</f>
      </c>
      <c r="S38" s="14">
        <f>'UnitEcon'!S24*'UnitEcon'!S23/1000</f>
      </c>
      <c r="T38" s="14">
        <f>'UnitEcon'!T24*'UnitEcon'!T23/1000</f>
      </c>
      <c r="U38" s="14">
        <f>'UnitEcon'!U24*'UnitEcon'!U23/1000</f>
      </c>
      <c r="V38" s="14">
        <f>'UnitEcon'!V24*'UnitEcon'!V23/1000</f>
      </c>
      <c r="W38" s="14">
        <f>'UnitEcon'!W24*'UnitEcon'!W23/1000</f>
      </c>
      <c r="X38" s="14">
        <f>'UnitEcon'!X24*'UnitEcon'!X23/1000</f>
      </c>
      <c r="Y38" s="14">
        <f>'UnitEcon'!Y24*'UnitEcon'!Y23/1000</f>
      </c>
      <c r="Z38" s="14">
        <f>'UnitEcon'!Z24*'UnitEcon'!Z23/1000</f>
      </c>
      <c r="AA38" s="14">
        <f>'UnitEcon'!AA24*'UnitEcon'!AA23/1000</f>
      </c>
      <c r="AB38" s="14">
        <f>'UnitEcon'!AB24*'UnitEcon'!AB23/1000</f>
      </c>
      <c r="AC38" s="14">
        <f>'UnitEcon'!AC24*'UnitEcon'!AC23/1000</f>
      </c>
      <c r="AD38" s="14">
        <f>'UnitEcon'!AD24*'UnitEcon'!AD23/1000</f>
      </c>
      <c r="AE38" s="14">
        <f>'UnitEcon'!AE24*'UnitEcon'!AE23/1000</f>
      </c>
      <c r="AF38" s="14">
        <f>'UnitEcon'!AF24*'UnitEcon'!AF23/1000</f>
      </c>
      <c r="AG38" s="14">
        <f>'UnitEcon'!AG24*'UnitEcon'!AG23/1000</f>
      </c>
      <c r="AH38" s="14">
        <f>'UnitEcon'!AH24*'UnitEcon'!AH23/1000</f>
      </c>
      <c r="AI38" s="14">
        <f>'UnitEcon'!AI24*'UnitEcon'!AI23/1000</f>
      </c>
      <c r="AJ38" s="14">
        <f>'UnitEcon'!AJ24*'UnitEcon'!AJ23/1000</f>
      </c>
      <c r="AK38" s="14">
        <f>'UnitEcon'!AK24*'UnitEcon'!AK23/1000</f>
      </c>
      <c r="AL38" s="14">
        <f>'UnitEcon'!AL24*'UnitEcon'!AL23/1000</f>
      </c>
      <c r="AM38" s="14">
        <f>'UnitEcon'!AM24*'UnitEcon'!AM23/1000</f>
      </c>
      <c r="AN38" s="14">
        <f>'UnitEcon'!AN24*'UnitEcon'!AN23/1000</f>
      </c>
      <c r="AO38" s="14">
        <f>'UnitEcon'!AO24*'UnitEcon'!AO23/1000</f>
      </c>
      <c r="AP38" s="14">
        <f>'UnitEcon'!AP24*'UnitEcon'!AP23/1000</f>
      </c>
      <c r="AQ38" s="14">
        <f>'UnitEcon'!AQ24*'UnitEcon'!AQ23/1000</f>
      </c>
      <c r="AR38" s="14">
        <f>'UnitEcon'!AR24*'UnitEcon'!AR23/1000</f>
      </c>
    </row>
    <row r="40" spans="1:44" x14ac:dyDescent="0.25">
      <c r="A40" s="6" t="s">
        <v>117</v>
      </c>
      <c r="B40" s="6" t="s">
        <v>18</v>
      </c>
      <c r="C40" s="6" t="s">
        <v>19</v>
      </c>
      <c r="D40" s="6" t="s">
        <v>20</v>
      </c>
      <c r="E40" s="6" t="s">
        <v>21</v>
      </c>
      <c r="F40" s="6" t="s">
        <v>22</v>
      </c>
      <c r="G40" s="6" t="s">
        <v>23</v>
      </c>
      <c r="H40" s="6" t="s">
        <v>24</v>
      </c>
      <c r="I40" s="6" t="s">
        <v>25</v>
      </c>
      <c r="J40" s="6" t="s">
        <v>26</v>
      </c>
      <c r="K40" s="6" t="s">
        <v>27</v>
      </c>
      <c r="L40" s="6" t="s">
        <v>28</v>
      </c>
      <c r="M40" s="6" t="s">
        <v>29</v>
      </c>
      <c r="N40" s="6" t="s">
        <v>30</v>
      </c>
      <c r="O40" s="6" t="s">
        <v>31</v>
      </c>
      <c r="P40" s="6" t="s">
        <v>32</v>
      </c>
      <c r="Q40" s="6" t="s">
        <v>33</v>
      </c>
      <c r="R40" s="6" t="s">
        <v>34</v>
      </c>
      <c r="S40" s="6" t="s">
        <v>35</v>
      </c>
      <c r="T40" s="6" t="s">
        <v>36</v>
      </c>
      <c r="U40" s="6" t="s">
        <v>37</v>
      </c>
      <c r="V40" s="6" t="s">
        <v>38</v>
      </c>
      <c r="W40" s="6" t="s">
        <v>39</v>
      </c>
      <c r="X40" s="6" t="s">
        <v>40</v>
      </c>
      <c r="Y40" s="6" t="s">
        <v>41</v>
      </c>
      <c r="Z40" s="6" t="s">
        <v>42</v>
      </c>
      <c r="AA40" s="6" t="s">
        <v>43</v>
      </c>
      <c r="AB40" s="6" t="s">
        <v>44</v>
      </c>
      <c r="AC40" s="6" t="s">
        <v>45</v>
      </c>
      <c r="AD40" s="6" t="s">
        <v>46</v>
      </c>
      <c r="AE40" s="6" t="s">
        <v>47</v>
      </c>
      <c r="AF40" s="6" t="s">
        <v>48</v>
      </c>
      <c r="AG40" s="6" t="s">
        <v>49</v>
      </c>
      <c r="AH40" s="6" t="s">
        <v>50</v>
      </c>
      <c r="AI40" s="6" t="s">
        <v>51</v>
      </c>
      <c r="AJ40" s="6" t="s">
        <v>52</v>
      </c>
      <c r="AK40" s="6" t="s">
        <v>53</v>
      </c>
      <c r="AL40" s="6" t="s">
        <v>54</v>
      </c>
      <c r="AM40" s="6" t="s">
        <v>55</v>
      </c>
      <c r="AN40" s="6" t="s">
        <v>56</v>
      </c>
      <c r="AO40" s="6" t="s">
        <v>57</v>
      </c>
      <c r="AP40" s="6" t="s">
        <v>58</v>
      </c>
      <c r="AQ40" s="6" t="s">
        <v>59</v>
      </c>
      <c r="AR40" s="6" t="s">
        <v>60</v>
      </c>
    </row>
    <row r="41" spans="1:44" x14ac:dyDescent="0.25">
      <c r="A41" t="s">
        <v>118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0.3</v>
      </c>
      <c r="U41" s="2">
        <v>0.45</v>
      </c>
      <c r="V41" s="2">
        <v>0.6</v>
      </c>
      <c r="W41" s="2">
        <v>0.7</v>
      </c>
      <c r="X41" s="2">
        <v>0.8</v>
      </c>
      <c r="Y41" s="2">
        <v>0.85</v>
      </c>
      <c r="Z41" s="2">
        <v>0.88</v>
      </c>
      <c r="AA41" s="2">
        <v>0.9</v>
      </c>
      <c r="AB41" s="2">
        <v>0.9</v>
      </c>
      <c r="AC41" s="2">
        <v>0.9</v>
      </c>
      <c r="AD41" s="2">
        <v>0.9</v>
      </c>
      <c r="AE41" s="2">
        <v>0.9</v>
      </c>
      <c r="AF41" s="2">
        <v>0.9</v>
      </c>
      <c r="AG41" s="2">
        <v>0.9</v>
      </c>
      <c r="AH41" s="2">
        <v>0.9</v>
      </c>
      <c r="AI41" s="2">
        <v>0.9</v>
      </c>
      <c r="AJ41" s="2">
        <v>0.9</v>
      </c>
      <c r="AK41" s="2">
        <v>0.9</v>
      </c>
      <c r="AL41" s="2">
        <v>0.9</v>
      </c>
      <c r="AM41" s="2">
        <v>0.9</v>
      </c>
      <c r="AN41" s="2">
        <v>0.9</v>
      </c>
      <c r="AO41" s="2">
        <v>0.9</v>
      </c>
      <c r="AP41" s="2">
        <v>0.9</v>
      </c>
      <c r="AQ41" s="2">
        <v>0.9</v>
      </c>
      <c r="AR41" s="2">
        <v>0.9</v>
      </c>
    </row>
    <row r="42" spans="1:44" x14ac:dyDescent="0.25">
      <c r="A42" t="s">
        <v>119</v>
      </c>
      <c r="B42" s="14">
        <f>'UnitEcon'!B23/12*'CAPEX'!B4*B41</f>
      </c>
      <c r="C42" s="14">
        <f>'UnitEcon'!C23/12*'CAPEX'!C4*C41</f>
      </c>
      <c r="D42" s="14">
        <f>'UnitEcon'!D23/12*'CAPEX'!D4*D41</f>
      </c>
      <c r="E42" s="14">
        <f>'UnitEcon'!E23/12*'CAPEX'!E4*E41</f>
      </c>
      <c r="F42" s="14">
        <f>'UnitEcon'!F23/12*'CAPEX'!F4*F41</f>
      </c>
      <c r="G42" s="14">
        <f>'UnitEcon'!G23/12*'CAPEX'!G4*G41</f>
      </c>
      <c r="H42" s="14">
        <f>'UnitEcon'!H23/12*'CAPEX'!H4*H41</f>
      </c>
      <c r="I42" s="14">
        <f>'UnitEcon'!I23/12*'CAPEX'!I4*I41</f>
      </c>
      <c r="J42" s="14">
        <f>'UnitEcon'!J23/12*'CAPEX'!J4*J41</f>
      </c>
      <c r="K42" s="14">
        <f>'UnitEcon'!K23/12*'CAPEX'!K4*K41</f>
      </c>
      <c r="L42" s="14">
        <f>'UnitEcon'!L23/12*'CAPEX'!L4*L41</f>
      </c>
      <c r="M42" s="14">
        <f>'UnitEcon'!M23/12*'CAPEX'!M4*M41</f>
      </c>
      <c r="N42" s="14">
        <f>'UnitEcon'!N23/12*'CAPEX'!N4*N41</f>
      </c>
      <c r="O42" s="14">
        <f>'UnitEcon'!O23/12*'CAPEX'!O4*O41</f>
      </c>
      <c r="P42" s="14">
        <f>'UnitEcon'!P23/12*'CAPEX'!P4*P41</f>
      </c>
      <c r="Q42" s="14">
        <f>'UnitEcon'!Q23/12*'CAPEX'!Q4*Q41</f>
      </c>
      <c r="R42" s="14">
        <f>'UnitEcon'!R23/12*'CAPEX'!R4*R41</f>
      </c>
      <c r="S42" s="14">
        <f>'UnitEcon'!S23/12*'CAPEX'!S4*S41</f>
      </c>
      <c r="T42" s="14">
        <f>'UnitEcon'!T23/12*'CAPEX'!T4*T41</f>
      </c>
      <c r="U42" s="14">
        <f>'UnitEcon'!U23/12*'CAPEX'!U4*U41</f>
      </c>
      <c r="V42" s="14">
        <f>'UnitEcon'!V23/12*'CAPEX'!V4*V41</f>
      </c>
      <c r="W42" s="14">
        <f>'UnitEcon'!W23/12*'CAPEX'!W4*W41</f>
      </c>
      <c r="X42" s="14">
        <f>'UnitEcon'!X23/12*'CAPEX'!X4*X41</f>
      </c>
      <c r="Y42" s="14">
        <f>'UnitEcon'!Y23/12*'CAPEX'!Y4*Y41</f>
      </c>
      <c r="Z42" s="14">
        <f>'UnitEcon'!Z23/12*'CAPEX'!Z4*Z41</f>
      </c>
      <c r="AA42" s="14">
        <f>'UnitEcon'!AA23/12*'CAPEX'!AA4*AA41</f>
      </c>
      <c r="AB42" s="14">
        <f>'UnitEcon'!AB23/12*'CAPEX'!AB4*AB41</f>
      </c>
      <c r="AC42" s="14">
        <f>'UnitEcon'!AC23/12*'CAPEX'!AC4*AC41</f>
      </c>
      <c r="AD42" s="14">
        <f>'UnitEcon'!AD23/12*'CAPEX'!AD4*AD41</f>
      </c>
      <c r="AE42" s="14">
        <f>'UnitEcon'!AE23/12*'CAPEX'!AE4*AE41</f>
      </c>
      <c r="AF42" s="14">
        <f>'UnitEcon'!AF23/12*'CAPEX'!AF4*AF41</f>
      </c>
      <c r="AG42" s="14">
        <f>'UnitEcon'!AG23/12*'CAPEX'!AG4*AG41</f>
      </c>
      <c r="AH42" s="14">
        <f>'UnitEcon'!AH23/12*'CAPEX'!AH4*AH41</f>
      </c>
      <c r="AI42" s="14">
        <f>'UnitEcon'!AI23/12*'CAPEX'!AI4*AI41</f>
      </c>
      <c r="AJ42" s="14">
        <f>'UnitEcon'!AJ23/12*'CAPEX'!AJ4*AJ41</f>
      </c>
      <c r="AK42" s="14">
        <f>'UnitEcon'!AK23/12*'CAPEX'!AK4*AK41</f>
      </c>
      <c r="AL42" s="14">
        <f>'UnitEcon'!AL23/12*'CAPEX'!AL4*AL41</f>
      </c>
      <c r="AM42" s="14">
        <f>'UnitEcon'!AM23/12*'CAPEX'!AM4*AM41</f>
      </c>
      <c r="AN42" s="14">
        <f>'UnitEcon'!AN23/12*'CAPEX'!AN4*AN41</f>
      </c>
      <c r="AO42" s="14">
        <f>'UnitEcon'!AO23/12*'CAPEX'!AO4*AO41</f>
      </c>
      <c r="AP42" s="14">
        <f>'UnitEcon'!AP23/12*'CAPEX'!AP4*AP41</f>
      </c>
      <c r="AQ42" s="14">
        <f>'UnitEcon'!AQ23/12*'CAPEX'!AQ4*AQ41</f>
      </c>
      <c r="AR42" s="14">
        <f>'UnitEcon'!AR23/12*'CAPEX'!AR4*AR41</f>
      </c>
    </row>
    <row r="43" spans="1:44" x14ac:dyDescent="0.25">
      <c r="A43" t="s">
        <v>120</v>
      </c>
      <c r="B43" s="14">
        <f>'UnitEcon'!B38/12*'CAPEX'!B4*B41</f>
      </c>
      <c r="C43" s="14">
        <f>'UnitEcon'!C38/12*'CAPEX'!C4*C41</f>
      </c>
      <c r="D43" s="14">
        <f>'UnitEcon'!D38/12*'CAPEX'!D4*D41</f>
      </c>
      <c r="E43" s="14">
        <f>'UnitEcon'!E38/12*'CAPEX'!E4*E41</f>
      </c>
      <c r="F43" s="14">
        <f>'UnitEcon'!F38/12*'CAPEX'!F4*F41</f>
      </c>
      <c r="G43" s="14">
        <f>'UnitEcon'!G38/12*'CAPEX'!G4*G41</f>
      </c>
      <c r="H43" s="14">
        <f>'UnitEcon'!H38/12*'CAPEX'!H4*H41</f>
      </c>
      <c r="I43" s="14">
        <f>'UnitEcon'!I38/12*'CAPEX'!I4*I41</f>
      </c>
      <c r="J43" s="14">
        <f>'UnitEcon'!J38/12*'CAPEX'!J4*J41</f>
      </c>
      <c r="K43" s="14">
        <f>'UnitEcon'!K38/12*'CAPEX'!K4*K41</f>
      </c>
      <c r="L43" s="14">
        <f>'UnitEcon'!L38/12*'CAPEX'!L4*L41</f>
      </c>
      <c r="M43" s="14">
        <f>'UnitEcon'!M38/12*'CAPEX'!M4*M41</f>
      </c>
      <c r="N43" s="14">
        <f>'UnitEcon'!N38/12*'CAPEX'!N4*N41</f>
      </c>
      <c r="O43" s="14">
        <f>'UnitEcon'!O38/12*'CAPEX'!O4*O41</f>
      </c>
      <c r="P43" s="14">
        <f>'UnitEcon'!P38/12*'CAPEX'!P4*P41</f>
      </c>
      <c r="Q43" s="14">
        <f>'UnitEcon'!Q38/12*'CAPEX'!Q4*Q41</f>
      </c>
      <c r="R43" s="14">
        <f>'UnitEcon'!R38/12*'CAPEX'!R4*R41</f>
      </c>
      <c r="S43" s="14">
        <f>'UnitEcon'!S38/12*'CAPEX'!S4*S41</f>
      </c>
      <c r="T43" s="14">
        <f>'UnitEcon'!T38/12*'CAPEX'!T4*T41</f>
      </c>
      <c r="U43" s="14">
        <f>'UnitEcon'!U38/12*'CAPEX'!U4*U41</f>
      </c>
      <c r="V43" s="14">
        <f>'UnitEcon'!V38/12*'CAPEX'!V4*V41</f>
      </c>
      <c r="W43" s="14">
        <f>'UnitEcon'!W38/12*'CAPEX'!W4*W41</f>
      </c>
      <c r="X43" s="14">
        <f>'UnitEcon'!X38/12*'CAPEX'!X4*X41</f>
      </c>
      <c r="Y43" s="14">
        <f>'UnitEcon'!Y38/12*'CAPEX'!Y4*Y41</f>
      </c>
      <c r="Z43" s="14">
        <f>'UnitEcon'!Z38/12*'CAPEX'!Z4*Z41</f>
      </c>
      <c r="AA43" s="14">
        <f>'UnitEcon'!AA38/12*'CAPEX'!AA4*AA41</f>
      </c>
      <c r="AB43" s="14">
        <f>'UnitEcon'!AB38/12*'CAPEX'!AB4*AB41</f>
      </c>
      <c r="AC43" s="14">
        <f>'UnitEcon'!AC38/12*'CAPEX'!AC4*AC41</f>
      </c>
      <c r="AD43" s="14">
        <f>'UnitEcon'!AD38/12*'CAPEX'!AD4*AD41</f>
      </c>
      <c r="AE43" s="14">
        <f>'UnitEcon'!AE38/12*'CAPEX'!AE4*AE41</f>
      </c>
      <c r="AF43" s="14">
        <f>'UnitEcon'!AF38/12*'CAPEX'!AF4*AF41</f>
      </c>
      <c r="AG43" s="14">
        <f>'UnitEcon'!AG38/12*'CAPEX'!AG4*AG41</f>
      </c>
      <c r="AH43" s="14">
        <f>'UnitEcon'!AH38/12*'CAPEX'!AH4*AH41</f>
      </c>
      <c r="AI43" s="14">
        <f>'UnitEcon'!AI38/12*'CAPEX'!AI4*AI41</f>
      </c>
      <c r="AJ43" s="14">
        <f>'UnitEcon'!AJ38/12*'CAPEX'!AJ4*AJ41</f>
      </c>
      <c r="AK43" s="14">
        <f>'UnitEcon'!AK38/12*'CAPEX'!AK4*AK41</f>
      </c>
      <c r="AL43" s="14">
        <f>'UnitEcon'!AL38/12*'CAPEX'!AL4*AL41</f>
      </c>
      <c r="AM43" s="14">
        <f>'UnitEcon'!AM38/12*'CAPEX'!AM4*AM41</f>
      </c>
      <c r="AN43" s="14">
        <f>'UnitEcon'!AN38/12*'CAPEX'!AN4*AN41</f>
      </c>
      <c r="AO43" s="14">
        <f>'UnitEcon'!AO38/12*'CAPEX'!AO4*AO41</f>
      </c>
      <c r="AP43" s="14">
        <f>'UnitEcon'!AP38/12*'CAPEX'!AP4*AP41</f>
      </c>
      <c r="AQ43" s="14">
        <f>'UnitEcon'!AQ38/12*'CAPEX'!AQ4*AQ41</f>
      </c>
      <c r="AR43" s="14">
        <f>'UnitEcon'!AR38/12*'CAPEX'!AR4*AR41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FormatPr defaultRowHeight="15" outlineLevelRow="0" outlineLevelCol="0" x14ac:dyDescent="55"/>
  <cols>
    <col min="1" max="1" width="42" customWidth="1"/>
    <col min="2" max="44" width="13" customWidth="1"/>
  </cols>
  <sheetData>
    <row r="1" spans="1:1" s="1" customFormat="1" x14ac:dyDescent="0.25">
      <c r="A1" s="1" t="s">
        <v>121</v>
      </c>
    </row>
    <row r="3" spans="1:44" x14ac:dyDescent="0.25">
      <c r="A3" s="6" t="s">
        <v>122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6" t="s">
        <v>34</v>
      </c>
      <c r="S3" s="6" t="s">
        <v>35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  <c r="AG3" s="6" t="s">
        <v>49</v>
      </c>
      <c r="AH3" s="6" t="s">
        <v>50</v>
      </c>
      <c r="AI3" s="6" t="s">
        <v>51</v>
      </c>
      <c r="AJ3" s="6" t="s">
        <v>52</v>
      </c>
      <c r="AK3" s="6" t="s">
        <v>53</v>
      </c>
      <c r="AL3" s="6" t="s">
        <v>54</v>
      </c>
      <c r="AM3" s="6" t="s">
        <v>55</v>
      </c>
      <c r="AN3" s="6" t="s">
        <v>56</v>
      </c>
      <c r="AO3" s="6" t="s">
        <v>57</v>
      </c>
      <c r="AP3" s="6" t="s">
        <v>58</v>
      </c>
      <c r="AQ3" s="6" t="s">
        <v>59</v>
      </c>
      <c r="AR3" s="6" t="s">
        <v>60</v>
      </c>
    </row>
    <row r="4" spans="1:44" x14ac:dyDescent="0.25">
      <c r="A4" t="s">
        <v>123</v>
      </c>
      <c r="B4" s="15">
        <f>POWER(1+'Parameters'!$B$14,'CAPEX'!B5-1)</f>
      </c>
      <c r="C4" s="15">
        <f>POWER(1+'Parameters'!$B$14,'CAPEX'!C5-1)</f>
      </c>
      <c r="D4" s="15">
        <f>POWER(1+'Parameters'!$B$14,'CAPEX'!D5-1)</f>
      </c>
      <c r="E4" s="15">
        <f>POWER(1+'Parameters'!$B$14,'CAPEX'!E5-1)</f>
      </c>
      <c r="F4" s="15">
        <f>POWER(1+'Parameters'!$B$14,'CAPEX'!F5-1)</f>
      </c>
      <c r="G4" s="15">
        <f>POWER(1+'Parameters'!$B$14,'CAPEX'!G5-1)</f>
      </c>
      <c r="H4" s="15">
        <f>POWER(1+'Parameters'!$B$14,'CAPEX'!H5-1)</f>
      </c>
      <c r="I4" s="15">
        <f>POWER(1+'Parameters'!$B$14,'CAPEX'!I5-1)</f>
      </c>
      <c r="J4" s="15">
        <f>POWER(1+'Parameters'!$B$14,'CAPEX'!J5-1)</f>
      </c>
      <c r="K4" s="15">
        <f>POWER(1+'Parameters'!$B$14,'CAPEX'!K5-1)</f>
      </c>
      <c r="L4" s="15">
        <f>POWER(1+'Parameters'!$B$14,'CAPEX'!L5-1)</f>
      </c>
      <c r="M4" s="15">
        <f>POWER(1+'Parameters'!$B$14,'CAPEX'!M5-1)</f>
      </c>
      <c r="N4" s="15">
        <f>POWER(1+'Parameters'!$B$14,'CAPEX'!N5-1)</f>
      </c>
      <c r="O4" s="15">
        <f>POWER(1+'Parameters'!$B$14,'CAPEX'!O5-1)</f>
      </c>
      <c r="P4" s="15">
        <f>POWER(1+'Parameters'!$B$14,'CAPEX'!P5-1)</f>
      </c>
      <c r="Q4" s="15">
        <f>POWER(1+'Parameters'!$B$14,'CAPEX'!Q5-1)</f>
      </c>
      <c r="R4" s="15">
        <f>POWER(1+'Parameters'!$B$14,'CAPEX'!R5-1)</f>
      </c>
      <c r="S4" s="15">
        <f>POWER(1+'Parameters'!$B$14,'CAPEX'!S5-1)</f>
      </c>
      <c r="T4" s="15">
        <f>POWER(1+'Parameters'!$B$14,'CAPEX'!T5-1)</f>
      </c>
      <c r="U4" s="15">
        <f>POWER(1+'Parameters'!$B$14,'CAPEX'!U5-1)</f>
      </c>
      <c r="V4" s="15">
        <f>POWER(1+'Parameters'!$B$14,'CAPEX'!V5-1)</f>
      </c>
      <c r="W4" s="15">
        <f>POWER(1+'Parameters'!$B$14,'CAPEX'!W5-1)</f>
      </c>
      <c r="X4" s="15">
        <f>POWER(1+'Parameters'!$B$14,'CAPEX'!X5-1)</f>
      </c>
      <c r="Y4" s="15">
        <f>POWER(1+'Parameters'!$B$14,'CAPEX'!Y5-1)</f>
      </c>
      <c r="Z4" s="15">
        <f>POWER(1+'Parameters'!$B$14,'CAPEX'!Z5-1)</f>
      </c>
      <c r="AA4" s="15">
        <f>POWER(1+'Parameters'!$B$14,'CAPEX'!AA5-1)</f>
      </c>
      <c r="AB4" s="15">
        <f>POWER(1+'Parameters'!$B$14,'CAPEX'!AB5-1)</f>
      </c>
      <c r="AC4" s="15">
        <f>POWER(1+'Parameters'!$B$14,'CAPEX'!AC5-1)</f>
      </c>
      <c r="AD4" s="15">
        <f>POWER(1+'Parameters'!$B$14,'CAPEX'!AD5-1)</f>
      </c>
      <c r="AE4" s="15">
        <f>POWER(1+'Parameters'!$B$14,'CAPEX'!AE5-1)</f>
      </c>
      <c r="AF4" s="15">
        <f>POWER(1+'Parameters'!$B$14,'CAPEX'!AF5-1)</f>
      </c>
      <c r="AG4" s="15">
        <f>POWER(1+'Parameters'!$B$14,'CAPEX'!AG5-1)</f>
      </c>
      <c r="AH4" s="15">
        <f>POWER(1+'Parameters'!$B$14,'CAPEX'!AH5-1)</f>
      </c>
      <c r="AI4" s="15">
        <f>POWER(1+'Parameters'!$B$14,'CAPEX'!AI5-1)</f>
      </c>
      <c r="AJ4" s="15">
        <f>POWER(1+'Parameters'!$B$14,'CAPEX'!AJ5-1)</f>
      </c>
      <c r="AK4" s="15">
        <f>POWER(1+'Parameters'!$B$14,'CAPEX'!AK5-1)</f>
      </c>
      <c r="AL4" s="15">
        <f>POWER(1+'Parameters'!$B$14,'CAPEX'!AL5-1)</f>
      </c>
      <c r="AM4" s="15">
        <f>POWER(1+'Parameters'!$B$14,'CAPEX'!AM5-1)</f>
      </c>
      <c r="AN4" s="15">
        <f>POWER(1+'Parameters'!$B$14,'CAPEX'!AN5-1)</f>
      </c>
      <c r="AO4" s="15">
        <f>POWER(1+'Parameters'!$B$14,'CAPEX'!AO5-1)</f>
      </c>
      <c r="AP4" s="15">
        <f>POWER(1+'Parameters'!$B$14,'CAPEX'!AP5-1)</f>
      </c>
      <c r="AQ4" s="15">
        <f>POWER(1+'Parameters'!$B$14,'CAPEX'!AQ5-1)</f>
      </c>
      <c r="AR4" s="15">
        <f>POWER(1+'Parameters'!$B$14,'CAPEX'!AR5-1)</f>
      </c>
    </row>
    <row r="5" spans="1:44" x14ac:dyDescent="0.25">
      <c r="A5" t="s">
        <v>124</v>
      </c>
      <c r="B5" s="15">
        <f>POWER(1+'Parameters'!$B$13,'CAPEX'!B5-1)</f>
      </c>
      <c r="C5" s="15">
        <f>POWER(1+'Parameters'!$B$13,'CAPEX'!C5-1)</f>
      </c>
      <c r="D5" s="15">
        <f>POWER(1+'Parameters'!$B$13,'CAPEX'!D5-1)</f>
      </c>
      <c r="E5" s="15">
        <f>POWER(1+'Parameters'!$B$13,'CAPEX'!E5-1)</f>
      </c>
      <c r="F5" s="15">
        <f>POWER(1+'Parameters'!$B$13,'CAPEX'!F5-1)</f>
      </c>
      <c r="G5" s="15">
        <f>POWER(1+'Parameters'!$B$13,'CAPEX'!G5-1)</f>
      </c>
      <c r="H5" s="15">
        <f>POWER(1+'Parameters'!$B$13,'CAPEX'!H5-1)</f>
      </c>
      <c r="I5" s="15">
        <f>POWER(1+'Parameters'!$B$13,'CAPEX'!I5-1)</f>
      </c>
      <c r="J5" s="15">
        <f>POWER(1+'Parameters'!$B$13,'CAPEX'!J5-1)</f>
      </c>
      <c r="K5" s="15">
        <f>POWER(1+'Parameters'!$B$13,'CAPEX'!K5-1)</f>
      </c>
      <c r="L5" s="15">
        <f>POWER(1+'Parameters'!$B$13,'CAPEX'!L5-1)</f>
      </c>
      <c r="M5" s="15">
        <f>POWER(1+'Parameters'!$B$13,'CAPEX'!M5-1)</f>
      </c>
      <c r="N5" s="15">
        <f>POWER(1+'Parameters'!$B$13,'CAPEX'!N5-1)</f>
      </c>
      <c r="O5" s="15">
        <f>POWER(1+'Parameters'!$B$13,'CAPEX'!O5-1)</f>
      </c>
      <c r="P5" s="15">
        <f>POWER(1+'Parameters'!$B$13,'CAPEX'!P5-1)</f>
      </c>
      <c r="Q5" s="15">
        <f>POWER(1+'Parameters'!$B$13,'CAPEX'!Q5-1)</f>
      </c>
      <c r="R5" s="15">
        <f>POWER(1+'Parameters'!$B$13,'CAPEX'!R5-1)</f>
      </c>
      <c r="S5" s="15">
        <f>POWER(1+'Parameters'!$B$13,'CAPEX'!S5-1)</f>
      </c>
      <c r="T5" s="15">
        <f>POWER(1+'Parameters'!$B$13,'CAPEX'!T5-1)</f>
      </c>
      <c r="U5" s="15">
        <f>POWER(1+'Parameters'!$B$13,'CAPEX'!U5-1)</f>
      </c>
      <c r="V5" s="15">
        <f>POWER(1+'Parameters'!$B$13,'CAPEX'!V5-1)</f>
      </c>
      <c r="W5" s="15">
        <f>POWER(1+'Parameters'!$B$13,'CAPEX'!W5-1)</f>
      </c>
      <c r="X5" s="15">
        <f>POWER(1+'Parameters'!$B$13,'CAPEX'!X5-1)</f>
      </c>
      <c r="Y5" s="15">
        <f>POWER(1+'Parameters'!$B$13,'CAPEX'!Y5-1)</f>
      </c>
      <c r="Z5" s="15">
        <f>POWER(1+'Parameters'!$B$13,'CAPEX'!Z5-1)</f>
      </c>
      <c r="AA5" s="15">
        <f>POWER(1+'Parameters'!$B$13,'CAPEX'!AA5-1)</f>
      </c>
      <c r="AB5" s="15">
        <f>POWER(1+'Parameters'!$B$13,'CAPEX'!AB5-1)</f>
      </c>
      <c r="AC5" s="15">
        <f>POWER(1+'Parameters'!$B$13,'CAPEX'!AC5-1)</f>
      </c>
      <c r="AD5" s="15">
        <f>POWER(1+'Parameters'!$B$13,'CAPEX'!AD5-1)</f>
      </c>
      <c r="AE5" s="15">
        <f>POWER(1+'Parameters'!$B$13,'CAPEX'!AE5-1)</f>
      </c>
      <c r="AF5" s="15">
        <f>POWER(1+'Parameters'!$B$13,'CAPEX'!AF5-1)</f>
      </c>
      <c r="AG5" s="15">
        <f>POWER(1+'Parameters'!$B$13,'CAPEX'!AG5-1)</f>
      </c>
      <c r="AH5" s="15">
        <f>POWER(1+'Parameters'!$B$13,'CAPEX'!AH5-1)</f>
      </c>
      <c r="AI5" s="15">
        <f>POWER(1+'Parameters'!$B$13,'CAPEX'!AI5-1)</f>
      </c>
      <c r="AJ5" s="15">
        <f>POWER(1+'Parameters'!$B$13,'CAPEX'!AJ5-1)</f>
      </c>
      <c r="AK5" s="15">
        <f>POWER(1+'Parameters'!$B$13,'CAPEX'!AK5-1)</f>
      </c>
      <c r="AL5" s="15">
        <f>POWER(1+'Parameters'!$B$13,'CAPEX'!AL5-1)</f>
      </c>
      <c r="AM5" s="15">
        <f>POWER(1+'Parameters'!$B$13,'CAPEX'!AM5-1)</f>
      </c>
      <c r="AN5" s="15">
        <f>POWER(1+'Parameters'!$B$13,'CAPEX'!AN5-1)</f>
      </c>
      <c r="AO5" s="15">
        <f>POWER(1+'Parameters'!$B$13,'CAPEX'!AO5-1)</f>
      </c>
      <c r="AP5" s="15">
        <f>POWER(1+'Parameters'!$B$13,'CAPEX'!AP5-1)</f>
      </c>
      <c r="AQ5" s="15">
        <f>POWER(1+'Parameters'!$B$13,'CAPEX'!AQ5-1)</f>
      </c>
      <c r="AR5" s="15">
        <f>POWER(1+'Parameters'!$B$13,'CAPEX'!AR5-1)</f>
      </c>
    </row>
    <row r="7" spans="1:2" x14ac:dyDescent="0.25">
      <c r="A7" t="s">
        <v>125</v>
      </c>
      <c r="B7" s="4">
        <v>126000</v>
      </c>
    </row>
    <row r="8" spans="1:44" x14ac:dyDescent="0.25">
      <c r="A8" t="s">
        <v>126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0.5</v>
      </c>
      <c r="R8" s="16">
        <v>0.5</v>
      </c>
      <c r="S8" s="16">
        <v>0.5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</row>
    <row r="9" spans="1:44" x14ac:dyDescent="0.25">
      <c r="A9" t="s">
        <v>127</v>
      </c>
      <c r="B9" s="4">
        <f>$B$7*B4*B8*'CAPEX'!B4/12</f>
      </c>
      <c r="C9" s="4">
        <f>$B$7*C4*C8*'CAPEX'!C4/12</f>
      </c>
      <c r="D9" s="4">
        <f>$B$7*D4*D8*'CAPEX'!D4/12</f>
      </c>
      <c r="E9" s="4">
        <f>$B$7*E4*E8*'CAPEX'!E4/12</f>
      </c>
      <c r="F9" s="4">
        <f>$B$7*F4*F8*'CAPEX'!F4/12</f>
      </c>
      <c r="G9" s="4">
        <f>$B$7*G4*G8*'CAPEX'!G4/12</f>
      </c>
      <c r="H9" s="4">
        <f>$B$7*H4*H8*'CAPEX'!H4/12</f>
      </c>
      <c r="I9" s="4">
        <f>$B$7*I4*I8*'CAPEX'!I4/12</f>
      </c>
      <c r="J9" s="4">
        <f>$B$7*J4*J8*'CAPEX'!J4/12</f>
      </c>
      <c r="K9" s="4">
        <f>$B$7*K4*K8*'CAPEX'!K4/12</f>
      </c>
      <c r="L9" s="4">
        <f>$B$7*L4*L8*'CAPEX'!L4/12</f>
      </c>
      <c r="M9" s="4">
        <f>$B$7*M4*M8*'CAPEX'!M4/12</f>
      </c>
      <c r="N9" s="4">
        <f>$B$7*N4*N8*'CAPEX'!N4/12</f>
      </c>
      <c r="O9" s="4">
        <f>$B$7*O4*O8*'CAPEX'!O4/12</f>
      </c>
      <c r="P9" s="4">
        <f>$B$7*P4*P8*'CAPEX'!P4/12</f>
      </c>
      <c r="Q9" s="4">
        <f>$B$7*Q4*Q8*'CAPEX'!Q4/12</f>
      </c>
      <c r="R9" s="4">
        <f>$B$7*R4*R8*'CAPEX'!R4/12</f>
      </c>
      <c r="S9" s="4">
        <f>$B$7*S4*S8*'CAPEX'!S4/12</f>
      </c>
      <c r="T9" s="4">
        <f>$B$7*T4*T8*'CAPEX'!T4/12</f>
      </c>
      <c r="U9" s="4">
        <f>$B$7*U4*U8*'CAPEX'!U4/12</f>
      </c>
      <c r="V9" s="4">
        <f>$B$7*V4*V8*'CAPEX'!V4/12</f>
      </c>
      <c r="W9" s="4">
        <f>$B$7*W4*W8*'CAPEX'!W4/12</f>
      </c>
      <c r="X9" s="4">
        <f>$B$7*X4*X8*'CAPEX'!X4/12</f>
      </c>
      <c r="Y9" s="4">
        <f>$B$7*Y4*Y8*'CAPEX'!Y4/12</f>
      </c>
      <c r="Z9" s="4">
        <f>$B$7*Z4*Z8*'CAPEX'!Z4/12</f>
      </c>
      <c r="AA9" s="4">
        <f>$B$7*AA4*AA8*'CAPEX'!AA4/12</f>
      </c>
      <c r="AB9" s="4">
        <f>$B$7*AB4*AB8*'CAPEX'!AB4/12</f>
      </c>
      <c r="AC9" s="4">
        <f>$B$7*AC4*AC8*'CAPEX'!AC4/12</f>
      </c>
      <c r="AD9" s="4">
        <f>$B$7*AD4*AD8*'CAPEX'!AD4/12</f>
      </c>
      <c r="AE9" s="4">
        <f>$B$7*AE4*AE8*'CAPEX'!AE4/12</f>
      </c>
      <c r="AF9" s="4">
        <f>$B$7*AF4*AF8*'CAPEX'!AF4/12</f>
      </c>
      <c r="AG9" s="4">
        <f>$B$7*AG4*AG8*'CAPEX'!AG4/12</f>
      </c>
      <c r="AH9" s="4">
        <f>$B$7*AH4*AH8*'CAPEX'!AH4/12</f>
      </c>
      <c r="AI9" s="4">
        <f>$B$7*AI4*AI8*'CAPEX'!AI4/12</f>
      </c>
      <c r="AJ9" s="4">
        <f>$B$7*AJ4*AJ8*'CAPEX'!AJ4/12</f>
      </c>
      <c r="AK9" s="4">
        <f>$B$7*AK4*AK8*'CAPEX'!AK4/12</f>
      </c>
      <c r="AL9" s="4">
        <f>$B$7*AL4*AL8*'CAPEX'!AL4/12</f>
      </c>
      <c r="AM9" s="4">
        <f>$B$7*AM4*AM8*'CAPEX'!AM4/12</f>
      </c>
      <c r="AN9" s="4">
        <f>$B$7*AN4*AN8*'CAPEX'!AN4/12</f>
      </c>
      <c r="AO9" s="4">
        <f>$B$7*AO4*AO8*'CAPEX'!AO4/12</f>
      </c>
      <c r="AP9" s="4">
        <f>$B$7*AP4*AP8*'CAPEX'!AP4/12</f>
      </c>
      <c r="AQ9" s="4">
        <f>$B$7*AQ4*AQ8*'CAPEX'!AQ4/12</f>
      </c>
      <c r="AR9" s="4">
        <f>$B$7*AR4*AR8*'CAPEX'!AR4/12</f>
      </c>
    </row>
    <row r="10" spans="1:2" x14ac:dyDescent="0.25">
      <c r="A10" t="s">
        <v>128</v>
      </c>
      <c r="B10" s="4">
        <v>73450</v>
      </c>
    </row>
    <row r="11" spans="1:44" x14ac:dyDescent="0.25">
      <c r="A11" t="s">
        <v>129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0.5</v>
      </c>
      <c r="R11" s="16">
        <v>0.5</v>
      </c>
      <c r="S11" s="16">
        <v>0.5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  <c r="AA11" s="16">
        <v>1</v>
      </c>
      <c r="AB11" s="16">
        <v>1</v>
      </c>
      <c r="AC11" s="16">
        <v>1</v>
      </c>
      <c r="AD11" s="16">
        <v>1</v>
      </c>
      <c r="AE11" s="16">
        <v>1</v>
      </c>
      <c r="AF11" s="16">
        <v>1</v>
      </c>
      <c r="AG11" s="16">
        <v>1</v>
      </c>
      <c r="AH11" s="16">
        <v>1</v>
      </c>
      <c r="AI11" s="16">
        <v>1</v>
      </c>
      <c r="AJ11" s="16">
        <v>1</v>
      </c>
      <c r="AK11" s="16">
        <v>1</v>
      </c>
      <c r="AL11" s="16">
        <v>1</v>
      </c>
      <c r="AM11" s="16">
        <v>1</v>
      </c>
      <c r="AN11" s="16">
        <v>1</v>
      </c>
      <c r="AO11" s="16">
        <v>1</v>
      </c>
      <c r="AP11" s="16">
        <v>1</v>
      </c>
      <c r="AQ11" s="16">
        <v>1</v>
      </c>
      <c r="AR11" s="16">
        <v>1</v>
      </c>
    </row>
    <row r="12" spans="1:44" x14ac:dyDescent="0.25">
      <c r="A12" t="s">
        <v>130</v>
      </c>
      <c r="B12" s="4">
        <f>$B$10*B4*B11*'CAPEX'!B4/12</f>
      </c>
      <c r="C12" s="4">
        <f>$B$10*C4*C11*'CAPEX'!C4/12</f>
      </c>
      <c r="D12" s="4">
        <f>$B$10*D4*D11*'CAPEX'!D4/12</f>
      </c>
      <c r="E12" s="4">
        <f>$B$10*E4*E11*'CAPEX'!E4/12</f>
      </c>
      <c r="F12" s="4">
        <f>$B$10*F4*F11*'CAPEX'!F4/12</f>
      </c>
      <c r="G12" s="4">
        <f>$B$10*G4*G11*'CAPEX'!G4/12</f>
      </c>
      <c r="H12" s="4">
        <f>$B$10*H4*H11*'CAPEX'!H4/12</f>
      </c>
      <c r="I12" s="4">
        <f>$B$10*I4*I11*'CAPEX'!I4/12</f>
      </c>
      <c r="J12" s="4">
        <f>$B$10*J4*J11*'CAPEX'!J4/12</f>
      </c>
      <c r="K12" s="4">
        <f>$B$10*K4*K11*'CAPEX'!K4/12</f>
      </c>
      <c r="L12" s="4">
        <f>$B$10*L4*L11*'CAPEX'!L4/12</f>
      </c>
      <c r="M12" s="4">
        <f>$B$10*M4*M11*'CAPEX'!M4/12</f>
      </c>
      <c r="N12" s="4">
        <f>$B$10*N4*N11*'CAPEX'!N4/12</f>
      </c>
      <c r="O12" s="4">
        <f>$B$10*O4*O11*'CAPEX'!O4/12</f>
      </c>
      <c r="P12" s="4">
        <f>$B$10*P4*P11*'CAPEX'!P4/12</f>
      </c>
      <c r="Q12" s="4">
        <f>$B$10*Q4*Q11*'CAPEX'!Q4/12</f>
      </c>
      <c r="R12" s="4">
        <f>$B$10*R4*R11*'CAPEX'!R4/12</f>
      </c>
      <c r="S12" s="4">
        <f>$B$10*S4*S11*'CAPEX'!S4/12</f>
      </c>
      <c r="T12" s="4">
        <f>$B$10*T4*T11*'CAPEX'!T4/12</f>
      </c>
      <c r="U12" s="4">
        <f>$B$10*U4*U11*'CAPEX'!U4/12</f>
      </c>
      <c r="V12" s="4">
        <f>$B$10*V4*V11*'CAPEX'!V4/12</f>
      </c>
      <c r="W12" s="4">
        <f>$B$10*W4*W11*'CAPEX'!W4/12</f>
      </c>
      <c r="X12" s="4">
        <f>$B$10*X4*X11*'CAPEX'!X4/12</f>
      </c>
      <c r="Y12" s="4">
        <f>$B$10*Y4*Y11*'CAPEX'!Y4/12</f>
      </c>
      <c r="Z12" s="4">
        <f>$B$10*Z4*Z11*'CAPEX'!Z4/12</f>
      </c>
      <c r="AA12" s="4">
        <f>$B$10*AA4*AA11*'CAPEX'!AA4/12</f>
      </c>
      <c r="AB12" s="4">
        <f>$B$10*AB4*AB11*'CAPEX'!AB4/12</f>
      </c>
      <c r="AC12" s="4">
        <f>$B$10*AC4*AC11*'CAPEX'!AC4/12</f>
      </c>
      <c r="AD12" s="4">
        <f>$B$10*AD4*AD11*'CAPEX'!AD4/12</f>
      </c>
      <c r="AE12" s="4">
        <f>$B$10*AE4*AE11*'CAPEX'!AE4/12</f>
      </c>
      <c r="AF12" s="4">
        <f>$B$10*AF4*AF11*'CAPEX'!AF4/12</f>
      </c>
      <c r="AG12" s="4">
        <f>$B$10*AG4*AG11*'CAPEX'!AG4/12</f>
      </c>
      <c r="AH12" s="4">
        <f>$B$10*AH4*AH11*'CAPEX'!AH4/12</f>
      </c>
      <c r="AI12" s="4">
        <f>$B$10*AI4*AI11*'CAPEX'!AI4/12</f>
      </c>
      <c r="AJ12" s="4">
        <f>$B$10*AJ4*AJ11*'CAPEX'!AJ4/12</f>
      </c>
      <c r="AK12" s="4">
        <f>$B$10*AK4*AK11*'CAPEX'!AK4/12</f>
      </c>
      <c r="AL12" s="4">
        <f>$B$10*AL4*AL11*'CAPEX'!AL4/12</f>
      </c>
      <c r="AM12" s="4">
        <f>$B$10*AM4*AM11*'CAPEX'!AM4/12</f>
      </c>
      <c r="AN12" s="4">
        <f>$B$10*AN4*AN11*'CAPEX'!AN4/12</f>
      </c>
      <c r="AO12" s="4">
        <f>$B$10*AO4*AO11*'CAPEX'!AO4/12</f>
      </c>
      <c r="AP12" s="4">
        <f>$B$10*AP4*AP11*'CAPEX'!AP4/12</f>
      </c>
      <c r="AQ12" s="4">
        <f>$B$10*AQ4*AQ11*'CAPEX'!AQ4/12</f>
      </c>
      <c r="AR12" s="4">
        <f>$B$10*AR4*AR11*'CAPEX'!AR4/12</f>
      </c>
    </row>
    <row r="13" spans="1:2" x14ac:dyDescent="0.25">
      <c r="A13" t="s">
        <v>131</v>
      </c>
      <c r="B13" s="4">
        <v>73450</v>
      </c>
    </row>
    <row r="14" spans="1:44" x14ac:dyDescent="0.25">
      <c r="A14" t="s">
        <v>132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0.5</v>
      </c>
      <c r="R14" s="16">
        <v>0.5</v>
      </c>
      <c r="S14" s="16">
        <v>0.5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>
        <v>1</v>
      </c>
      <c r="AH14" s="16">
        <v>1</v>
      </c>
      <c r="AI14" s="16">
        <v>1</v>
      </c>
      <c r="AJ14" s="16">
        <v>1</v>
      </c>
      <c r="AK14" s="16">
        <v>1</v>
      </c>
      <c r="AL14" s="16">
        <v>1</v>
      </c>
      <c r="AM14" s="16">
        <v>1</v>
      </c>
      <c r="AN14" s="16">
        <v>1</v>
      </c>
      <c r="AO14" s="16">
        <v>1</v>
      </c>
      <c r="AP14" s="16">
        <v>1</v>
      </c>
      <c r="AQ14" s="16">
        <v>1</v>
      </c>
      <c r="AR14" s="16">
        <v>1</v>
      </c>
    </row>
    <row r="15" spans="1:44" x14ac:dyDescent="0.25">
      <c r="A15" t="s">
        <v>133</v>
      </c>
      <c r="B15" s="4">
        <f>$B$13*B4*B14*'CAPEX'!B4/12</f>
      </c>
      <c r="C15" s="4">
        <f>$B$13*C4*C14*'CAPEX'!C4/12</f>
      </c>
      <c r="D15" s="4">
        <f>$B$13*D4*D14*'CAPEX'!D4/12</f>
      </c>
      <c r="E15" s="4">
        <f>$B$13*E4*E14*'CAPEX'!E4/12</f>
      </c>
      <c r="F15" s="4">
        <f>$B$13*F4*F14*'CAPEX'!F4/12</f>
      </c>
      <c r="G15" s="4">
        <f>$B$13*G4*G14*'CAPEX'!G4/12</f>
      </c>
      <c r="H15" s="4">
        <f>$B$13*H4*H14*'CAPEX'!H4/12</f>
      </c>
      <c r="I15" s="4">
        <f>$B$13*I4*I14*'CAPEX'!I4/12</f>
      </c>
      <c r="J15" s="4">
        <f>$B$13*J4*J14*'CAPEX'!J4/12</f>
      </c>
      <c r="K15" s="4">
        <f>$B$13*K4*K14*'CAPEX'!K4/12</f>
      </c>
      <c r="L15" s="4">
        <f>$B$13*L4*L14*'CAPEX'!L4/12</f>
      </c>
      <c r="M15" s="4">
        <f>$B$13*M4*M14*'CAPEX'!M4/12</f>
      </c>
      <c r="N15" s="4">
        <f>$B$13*N4*N14*'CAPEX'!N4/12</f>
      </c>
      <c r="O15" s="4">
        <f>$B$13*O4*O14*'CAPEX'!O4/12</f>
      </c>
      <c r="P15" s="4">
        <f>$B$13*P4*P14*'CAPEX'!P4/12</f>
      </c>
      <c r="Q15" s="4">
        <f>$B$13*Q4*Q14*'CAPEX'!Q4/12</f>
      </c>
      <c r="R15" s="4">
        <f>$B$13*R4*R14*'CAPEX'!R4/12</f>
      </c>
      <c r="S15" s="4">
        <f>$B$13*S4*S14*'CAPEX'!S4/12</f>
      </c>
      <c r="T15" s="4">
        <f>$B$13*T4*T14*'CAPEX'!T4/12</f>
      </c>
      <c r="U15" s="4">
        <f>$B$13*U4*U14*'CAPEX'!U4/12</f>
      </c>
      <c r="V15" s="4">
        <f>$B$13*V4*V14*'CAPEX'!V4/12</f>
      </c>
      <c r="W15" s="4">
        <f>$B$13*W4*W14*'CAPEX'!W4/12</f>
      </c>
      <c r="X15" s="4">
        <f>$B$13*X4*X14*'CAPEX'!X4/12</f>
      </c>
      <c r="Y15" s="4">
        <f>$B$13*Y4*Y14*'CAPEX'!Y4/12</f>
      </c>
      <c r="Z15" s="4">
        <f>$B$13*Z4*Z14*'CAPEX'!Z4/12</f>
      </c>
      <c r="AA15" s="4">
        <f>$B$13*AA4*AA14*'CAPEX'!AA4/12</f>
      </c>
      <c r="AB15" s="4">
        <f>$B$13*AB4*AB14*'CAPEX'!AB4/12</f>
      </c>
      <c r="AC15" s="4">
        <f>$B$13*AC4*AC14*'CAPEX'!AC4/12</f>
      </c>
      <c r="AD15" s="4">
        <f>$B$13*AD4*AD14*'CAPEX'!AD4/12</f>
      </c>
      <c r="AE15" s="4">
        <f>$B$13*AE4*AE14*'CAPEX'!AE4/12</f>
      </c>
      <c r="AF15" s="4">
        <f>$B$13*AF4*AF14*'CAPEX'!AF4/12</f>
      </c>
      <c r="AG15" s="4">
        <f>$B$13*AG4*AG14*'CAPEX'!AG4/12</f>
      </c>
      <c r="AH15" s="4">
        <f>$B$13*AH4*AH14*'CAPEX'!AH4/12</f>
      </c>
      <c r="AI15" s="4">
        <f>$B$13*AI4*AI14*'CAPEX'!AI4/12</f>
      </c>
      <c r="AJ15" s="4">
        <f>$B$13*AJ4*AJ14*'CAPEX'!AJ4/12</f>
      </c>
      <c r="AK15" s="4">
        <f>$B$13*AK4*AK14*'CAPEX'!AK4/12</f>
      </c>
      <c r="AL15" s="4">
        <f>$B$13*AL4*AL14*'CAPEX'!AL4/12</f>
      </c>
      <c r="AM15" s="4">
        <f>$B$13*AM4*AM14*'CAPEX'!AM4/12</f>
      </c>
      <c r="AN15" s="4">
        <f>$B$13*AN4*AN14*'CAPEX'!AN4/12</f>
      </c>
      <c r="AO15" s="4">
        <f>$B$13*AO4*AO14*'CAPEX'!AO4/12</f>
      </c>
      <c r="AP15" s="4">
        <f>$B$13*AP4*AP14*'CAPEX'!AP4/12</f>
      </c>
      <c r="AQ15" s="4">
        <f>$B$13*AQ4*AQ14*'CAPEX'!AQ4/12</f>
      </c>
      <c r="AR15" s="4">
        <f>$B$13*AR4*AR14*'CAPEX'!AR4/12</f>
      </c>
    </row>
    <row r="16" spans="1:2" x14ac:dyDescent="0.25">
      <c r="A16" t="s">
        <v>134</v>
      </c>
      <c r="B16" s="4">
        <v>56500</v>
      </c>
    </row>
    <row r="17" spans="1:44" x14ac:dyDescent="0.25">
      <c r="A17" t="s">
        <v>135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1.95</v>
      </c>
      <c r="R17" s="16">
        <v>1.95</v>
      </c>
      <c r="S17" s="16">
        <v>1.95</v>
      </c>
      <c r="T17" s="16">
        <v>3.9</v>
      </c>
      <c r="U17" s="16">
        <v>3.9</v>
      </c>
      <c r="V17" s="16">
        <v>3.9</v>
      </c>
      <c r="W17" s="16">
        <v>3.9</v>
      </c>
      <c r="X17" s="16">
        <v>3.9</v>
      </c>
      <c r="Y17" s="16">
        <v>3.9</v>
      </c>
      <c r="Z17" s="16">
        <v>3.9</v>
      </c>
      <c r="AA17" s="16">
        <v>3.9</v>
      </c>
      <c r="AB17" s="16">
        <v>3.9</v>
      </c>
      <c r="AC17" s="16">
        <v>3.9</v>
      </c>
      <c r="AD17" s="16">
        <v>3.9</v>
      </c>
      <c r="AE17" s="16">
        <v>3.9</v>
      </c>
      <c r="AF17" s="16">
        <v>3.9</v>
      </c>
      <c r="AG17" s="16">
        <v>3.9</v>
      </c>
      <c r="AH17" s="16">
        <v>3.9</v>
      </c>
      <c r="AI17" s="16">
        <v>3.9</v>
      </c>
      <c r="AJ17" s="16">
        <v>3.9</v>
      </c>
      <c r="AK17" s="16">
        <v>3.9</v>
      </c>
      <c r="AL17" s="16">
        <v>3.9</v>
      </c>
      <c r="AM17" s="16">
        <v>3.9</v>
      </c>
      <c r="AN17" s="16">
        <v>3.9</v>
      </c>
      <c r="AO17" s="16">
        <v>3.9</v>
      </c>
      <c r="AP17" s="16">
        <v>3.9</v>
      </c>
      <c r="AQ17" s="16">
        <v>3.9</v>
      </c>
      <c r="AR17" s="16">
        <v>3.9</v>
      </c>
    </row>
    <row r="18" spans="1:44" x14ac:dyDescent="0.25">
      <c r="A18" t="s">
        <v>136</v>
      </c>
      <c r="B18" s="4">
        <f>$B$16*B4*B17*'CAPEX'!B4/12</f>
      </c>
      <c r="C18" s="4">
        <f>$B$16*C4*C17*'CAPEX'!C4/12</f>
      </c>
      <c r="D18" s="4">
        <f>$B$16*D4*D17*'CAPEX'!D4/12</f>
      </c>
      <c r="E18" s="4">
        <f>$B$16*E4*E17*'CAPEX'!E4/12</f>
      </c>
      <c r="F18" s="4">
        <f>$B$16*F4*F17*'CAPEX'!F4/12</f>
      </c>
      <c r="G18" s="4">
        <f>$B$16*G4*G17*'CAPEX'!G4/12</f>
      </c>
      <c r="H18" s="4">
        <f>$B$16*H4*H17*'CAPEX'!H4/12</f>
      </c>
      <c r="I18" s="4">
        <f>$B$16*I4*I17*'CAPEX'!I4/12</f>
      </c>
      <c r="J18" s="4">
        <f>$B$16*J4*J17*'CAPEX'!J4/12</f>
      </c>
      <c r="K18" s="4">
        <f>$B$16*K4*K17*'CAPEX'!K4/12</f>
      </c>
      <c r="L18" s="4">
        <f>$B$16*L4*L17*'CAPEX'!L4/12</f>
      </c>
      <c r="M18" s="4">
        <f>$B$16*M4*M17*'CAPEX'!M4/12</f>
      </c>
      <c r="N18" s="4">
        <f>$B$16*N4*N17*'CAPEX'!N4/12</f>
      </c>
      <c r="O18" s="4">
        <f>$B$16*O4*O17*'CAPEX'!O4/12</f>
      </c>
      <c r="P18" s="4">
        <f>$B$16*P4*P17*'CAPEX'!P4/12</f>
      </c>
      <c r="Q18" s="4">
        <f>$B$16*Q4*Q17*'CAPEX'!Q4/12</f>
      </c>
      <c r="R18" s="4">
        <f>$B$16*R4*R17*'CAPEX'!R4/12</f>
      </c>
      <c r="S18" s="4">
        <f>$B$16*S4*S17*'CAPEX'!S4/12</f>
      </c>
      <c r="T18" s="4">
        <f>$B$16*T4*T17*'CAPEX'!T4/12</f>
      </c>
      <c r="U18" s="4">
        <f>$B$16*U4*U17*'CAPEX'!U4/12</f>
      </c>
      <c r="V18" s="4">
        <f>$B$16*V4*V17*'CAPEX'!V4/12</f>
      </c>
      <c r="W18" s="4">
        <f>$B$16*W4*W17*'CAPEX'!W4/12</f>
      </c>
      <c r="X18" s="4">
        <f>$B$16*X4*X17*'CAPEX'!X4/12</f>
      </c>
      <c r="Y18" s="4">
        <f>$B$16*Y4*Y17*'CAPEX'!Y4/12</f>
      </c>
      <c r="Z18" s="4">
        <f>$B$16*Z4*Z17*'CAPEX'!Z4/12</f>
      </c>
      <c r="AA18" s="4">
        <f>$B$16*AA4*AA17*'CAPEX'!AA4/12</f>
      </c>
      <c r="AB18" s="4">
        <f>$B$16*AB4*AB17*'CAPEX'!AB4/12</f>
      </c>
      <c r="AC18" s="4">
        <f>$B$16*AC4*AC17*'CAPEX'!AC4/12</f>
      </c>
      <c r="AD18" s="4">
        <f>$B$16*AD4*AD17*'CAPEX'!AD4/12</f>
      </c>
      <c r="AE18" s="4">
        <f>$B$16*AE4*AE17*'CAPEX'!AE4/12</f>
      </c>
      <c r="AF18" s="4">
        <f>$B$16*AF4*AF17*'CAPEX'!AF4/12</f>
      </c>
      <c r="AG18" s="4">
        <f>$B$16*AG4*AG17*'CAPEX'!AG4/12</f>
      </c>
      <c r="AH18" s="4">
        <f>$B$16*AH4*AH17*'CAPEX'!AH4/12</f>
      </c>
      <c r="AI18" s="4">
        <f>$B$16*AI4*AI17*'CAPEX'!AI4/12</f>
      </c>
      <c r="AJ18" s="4">
        <f>$B$16*AJ4*AJ17*'CAPEX'!AJ4/12</f>
      </c>
      <c r="AK18" s="4">
        <f>$B$16*AK4*AK17*'CAPEX'!AK4/12</f>
      </c>
      <c r="AL18" s="4">
        <f>$B$16*AL4*AL17*'CAPEX'!AL4/12</f>
      </c>
      <c r="AM18" s="4">
        <f>$B$16*AM4*AM17*'CAPEX'!AM4/12</f>
      </c>
      <c r="AN18" s="4">
        <f>$B$16*AN4*AN17*'CAPEX'!AN4/12</f>
      </c>
      <c r="AO18" s="4">
        <f>$B$16*AO4*AO17*'CAPEX'!AO4/12</f>
      </c>
      <c r="AP18" s="4">
        <f>$B$16*AP4*AP17*'CAPEX'!AP4/12</f>
      </c>
      <c r="AQ18" s="4">
        <f>$B$16*AQ4*AQ17*'CAPEX'!AQ4/12</f>
      </c>
      <c r="AR18" s="4">
        <f>$B$16*AR4*AR17*'CAPEX'!AR4/12</f>
      </c>
    </row>
    <row r="19" spans="1:2" x14ac:dyDescent="0.25">
      <c r="A19" t="s">
        <v>137</v>
      </c>
      <c r="B19" s="4">
        <v>39550</v>
      </c>
    </row>
    <row r="20" spans="1:44" x14ac:dyDescent="0.25">
      <c r="A20" t="s">
        <v>138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3.9</v>
      </c>
      <c r="R20" s="16">
        <v>3.9</v>
      </c>
      <c r="S20" s="16">
        <v>3.9</v>
      </c>
      <c r="T20" s="16">
        <v>7.8</v>
      </c>
      <c r="U20" s="16">
        <v>7.8</v>
      </c>
      <c r="V20" s="16">
        <v>7.8</v>
      </c>
      <c r="W20" s="16">
        <v>7.8</v>
      </c>
      <c r="X20" s="16">
        <v>7.8</v>
      </c>
      <c r="Y20" s="16">
        <v>7.8</v>
      </c>
      <c r="Z20" s="16">
        <v>7.8</v>
      </c>
      <c r="AA20" s="16">
        <v>7.8</v>
      </c>
      <c r="AB20" s="16">
        <v>7.8</v>
      </c>
      <c r="AC20" s="16">
        <v>7.8</v>
      </c>
      <c r="AD20" s="16">
        <v>7.8</v>
      </c>
      <c r="AE20" s="16">
        <v>7.8</v>
      </c>
      <c r="AF20" s="16">
        <v>7.8</v>
      </c>
      <c r="AG20" s="16">
        <v>7.8</v>
      </c>
      <c r="AH20" s="16">
        <v>7.8</v>
      </c>
      <c r="AI20" s="16">
        <v>7.8</v>
      </c>
      <c r="AJ20" s="16">
        <v>7.8</v>
      </c>
      <c r="AK20" s="16">
        <v>7.8</v>
      </c>
      <c r="AL20" s="16">
        <v>7.8</v>
      </c>
      <c r="AM20" s="16">
        <v>7.8</v>
      </c>
      <c r="AN20" s="16">
        <v>7.8</v>
      </c>
      <c r="AO20" s="16">
        <v>7.8</v>
      </c>
      <c r="AP20" s="16">
        <v>7.8</v>
      </c>
      <c r="AQ20" s="16">
        <v>7.8</v>
      </c>
      <c r="AR20" s="16">
        <v>7.8</v>
      </c>
    </row>
    <row r="21" spans="1:44" x14ac:dyDescent="0.25">
      <c r="A21" t="s">
        <v>139</v>
      </c>
      <c r="B21" s="4">
        <f>$B$19*B4*B20*'CAPEX'!B4/12</f>
      </c>
      <c r="C21" s="4">
        <f>$B$19*C4*C20*'CAPEX'!C4/12</f>
      </c>
      <c r="D21" s="4">
        <f>$B$19*D4*D20*'CAPEX'!D4/12</f>
      </c>
      <c r="E21" s="4">
        <f>$B$19*E4*E20*'CAPEX'!E4/12</f>
      </c>
      <c r="F21" s="4">
        <f>$B$19*F4*F20*'CAPEX'!F4/12</f>
      </c>
      <c r="G21" s="4">
        <f>$B$19*G4*G20*'CAPEX'!G4/12</f>
      </c>
      <c r="H21" s="4">
        <f>$B$19*H4*H20*'CAPEX'!H4/12</f>
      </c>
      <c r="I21" s="4">
        <f>$B$19*I4*I20*'CAPEX'!I4/12</f>
      </c>
      <c r="J21" s="4">
        <f>$B$19*J4*J20*'CAPEX'!J4/12</f>
      </c>
      <c r="K21" s="4">
        <f>$B$19*K4*K20*'CAPEX'!K4/12</f>
      </c>
      <c r="L21" s="4">
        <f>$B$19*L4*L20*'CAPEX'!L4/12</f>
      </c>
      <c r="M21" s="4">
        <f>$B$19*M4*M20*'CAPEX'!M4/12</f>
      </c>
      <c r="N21" s="4">
        <f>$B$19*N4*N20*'CAPEX'!N4/12</f>
      </c>
      <c r="O21" s="4">
        <f>$B$19*O4*O20*'CAPEX'!O4/12</f>
      </c>
      <c r="P21" s="4">
        <f>$B$19*P4*P20*'CAPEX'!P4/12</f>
      </c>
      <c r="Q21" s="4">
        <f>$B$19*Q4*Q20*'CAPEX'!Q4/12</f>
      </c>
      <c r="R21" s="4">
        <f>$B$19*R4*R20*'CAPEX'!R4/12</f>
      </c>
      <c r="S21" s="4">
        <f>$B$19*S4*S20*'CAPEX'!S4/12</f>
      </c>
      <c r="T21" s="4">
        <f>$B$19*T4*T20*'CAPEX'!T4/12</f>
      </c>
      <c r="U21" s="4">
        <f>$B$19*U4*U20*'CAPEX'!U4/12</f>
      </c>
      <c r="V21" s="4">
        <f>$B$19*V4*V20*'CAPEX'!V4/12</f>
      </c>
      <c r="W21" s="4">
        <f>$B$19*W4*W20*'CAPEX'!W4/12</f>
      </c>
      <c r="X21" s="4">
        <f>$B$19*X4*X20*'CAPEX'!X4/12</f>
      </c>
      <c r="Y21" s="4">
        <f>$B$19*Y4*Y20*'CAPEX'!Y4/12</f>
      </c>
      <c r="Z21" s="4">
        <f>$B$19*Z4*Z20*'CAPEX'!Z4/12</f>
      </c>
      <c r="AA21" s="4">
        <f>$B$19*AA4*AA20*'CAPEX'!AA4/12</f>
      </c>
      <c r="AB21" s="4">
        <f>$B$19*AB4*AB20*'CAPEX'!AB4/12</f>
      </c>
      <c r="AC21" s="4">
        <f>$B$19*AC4*AC20*'CAPEX'!AC4/12</f>
      </c>
      <c r="AD21" s="4">
        <f>$B$19*AD4*AD20*'CAPEX'!AD4/12</f>
      </c>
      <c r="AE21" s="4">
        <f>$B$19*AE4*AE20*'CAPEX'!AE4/12</f>
      </c>
      <c r="AF21" s="4">
        <f>$B$19*AF4*AF20*'CAPEX'!AF4/12</f>
      </c>
      <c r="AG21" s="4">
        <f>$B$19*AG4*AG20*'CAPEX'!AG4/12</f>
      </c>
      <c r="AH21" s="4">
        <f>$B$19*AH4*AH20*'CAPEX'!AH4/12</f>
      </c>
      <c r="AI21" s="4">
        <f>$B$19*AI4*AI20*'CAPEX'!AI4/12</f>
      </c>
      <c r="AJ21" s="4">
        <f>$B$19*AJ4*AJ20*'CAPEX'!AJ4/12</f>
      </c>
      <c r="AK21" s="4">
        <f>$B$19*AK4*AK20*'CAPEX'!AK4/12</f>
      </c>
      <c r="AL21" s="4">
        <f>$B$19*AL4*AL20*'CAPEX'!AL4/12</f>
      </c>
      <c r="AM21" s="4">
        <f>$B$19*AM4*AM20*'CAPEX'!AM4/12</f>
      </c>
      <c r="AN21" s="4">
        <f>$B$19*AN4*AN20*'CAPEX'!AN4/12</f>
      </c>
      <c r="AO21" s="4">
        <f>$B$19*AO4*AO20*'CAPEX'!AO4/12</f>
      </c>
      <c r="AP21" s="4">
        <f>$B$19*AP4*AP20*'CAPEX'!AP4/12</f>
      </c>
      <c r="AQ21" s="4">
        <f>$B$19*AQ4*AQ20*'CAPEX'!AQ4/12</f>
      </c>
      <c r="AR21" s="4">
        <f>$B$19*AR4*AR20*'CAPEX'!AR4/12</f>
      </c>
    </row>
    <row r="22" spans="1:2" x14ac:dyDescent="0.25">
      <c r="A22" t="s">
        <v>140</v>
      </c>
      <c r="B22" s="4">
        <v>45200</v>
      </c>
    </row>
    <row r="23" spans="1:44" x14ac:dyDescent="0.25">
      <c r="A23" t="s">
        <v>141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1.95</v>
      </c>
      <c r="R23" s="16">
        <v>1.95</v>
      </c>
      <c r="S23" s="16">
        <v>1.95</v>
      </c>
      <c r="T23" s="16">
        <v>3.9</v>
      </c>
      <c r="U23" s="16">
        <v>3.9</v>
      </c>
      <c r="V23" s="16">
        <v>3.9</v>
      </c>
      <c r="W23" s="16">
        <v>3.9</v>
      </c>
      <c r="X23" s="16">
        <v>3.9</v>
      </c>
      <c r="Y23" s="16">
        <v>3.9</v>
      </c>
      <c r="Z23" s="16">
        <v>3.9</v>
      </c>
      <c r="AA23" s="16">
        <v>3.9</v>
      </c>
      <c r="AB23" s="16">
        <v>3.9</v>
      </c>
      <c r="AC23" s="16">
        <v>3.9</v>
      </c>
      <c r="AD23" s="16">
        <v>3.9</v>
      </c>
      <c r="AE23" s="16">
        <v>3.9</v>
      </c>
      <c r="AF23" s="16">
        <v>3.9</v>
      </c>
      <c r="AG23" s="16">
        <v>3.9</v>
      </c>
      <c r="AH23" s="16">
        <v>3.9</v>
      </c>
      <c r="AI23" s="16">
        <v>3.9</v>
      </c>
      <c r="AJ23" s="16">
        <v>3.9</v>
      </c>
      <c r="AK23" s="16">
        <v>3.9</v>
      </c>
      <c r="AL23" s="16">
        <v>3.9</v>
      </c>
      <c r="AM23" s="16">
        <v>3.9</v>
      </c>
      <c r="AN23" s="16">
        <v>3.9</v>
      </c>
      <c r="AO23" s="16">
        <v>3.9</v>
      </c>
      <c r="AP23" s="16">
        <v>3.9</v>
      </c>
      <c r="AQ23" s="16">
        <v>3.9</v>
      </c>
      <c r="AR23" s="16">
        <v>3.9</v>
      </c>
    </row>
    <row r="24" spans="1:44" x14ac:dyDescent="0.25">
      <c r="A24" t="s">
        <v>142</v>
      </c>
      <c r="B24" s="4">
        <f>$B$22*B4*B23*'CAPEX'!B4/12</f>
      </c>
      <c r="C24" s="4">
        <f>$B$22*C4*C23*'CAPEX'!C4/12</f>
      </c>
      <c r="D24" s="4">
        <f>$B$22*D4*D23*'CAPEX'!D4/12</f>
      </c>
      <c r="E24" s="4">
        <f>$B$22*E4*E23*'CAPEX'!E4/12</f>
      </c>
      <c r="F24" s="4">
        <f>$B$22*F4*F23*'CAPEX'!F4/12</f>
      </c>
      <c r="G24" s="4">
        <f>$B$22*G4*G23*'CAPEX'!G4/12</f>
      </c>
      <c r="H24" s="4">
        <f>$B$22*H4*H23*'CAPEX'!H4/12</f>
      </c>
      <c r="I24" s="4">
        <f>$B$22*I4*I23*'CAPEX'!I4/12</f>
      </c>
      <c r="J24" s="4">
        <f>$B$22*J4*J23*'CAPEX'!J4/12</f>
      </c>
      <c r="K24" s="4">
        <f>$B$22*K4*K23*'CAPEX'!K4/12</f>
      </c>
      <c r="L24" s="4">
        <f>$B$22*L4*L23*'CAPEX'!L4/12</f>
      </c>
      <c r="M24" s="4">
        <f>$B$22*M4*M23*'CAPEX'!M4/12</f>
      </c>
      <c r="N24" s="4">
        <f>$B$22*N4*N23*'CAPEX'!N4/12</f>
      </c>
      <c r="O24" s="4">
        <f>$B$22*O4*O23*'CAPEX'!O4/12</f>
      </c>
      <c r="P24" s="4">
        <f>$B$22*P4*P23*'CAPEX'!P4/12</f>
      </c>
      <c r="Q24" s="4">
        <f>$B$22*Q4*Q23*'CAPEX'!Q4/12</f>
      </c>
      <c r="R24" s="4">
        <f>$B$22*R4*R23*'CAPEX'!R4/12</f>
      </c>
      <c r="S24" s="4">
        <f>$B$22*S4*S23*'CAPEX'!S4/12</f>
      </c>
      <c r="T24" s="4">
        <f>$B$22*T4*T23*'CAPEX'!T4/12</f>
      </c>
      <c r="U24" s="4">
        <f>$B$22*U4*U23*'CAPEX'!U4/12</f>
      </c>
      <c r="V24" s="4">
        <f>$B$22*V4*V23*'CAPEX'!V4/12</f>
      </c>
      <c r="W24" s="4">
        <f>$B$22*W4*W23*'CAPEX'!W4/12</f>
      </c>
      <c r="X24" s="4">
        <f>$B$22*X4*X23*'CAPEX'!X4/12</f>
      </c>
      <c r="Y24" s="4">
        <f>$B$22*Y4*Y23*'CAPEX'!Y4/12</f>
      </c>
      <c r="Z24" s="4">
        <f>$B$22*Z4*Z23*'CAPEX'!Z4/12</f>
      </c>
      <c r="AA24" s="4">
        <f>$B$22*AA4*AA23*'CAPEX'!AA4/12</f>
      </c>
      <c r="AB24" s="4">
        <f>$B$22*AB4*AB23*'CAPEX'!AB4/12</f>
      </c>
      <c r="AC24" s="4">
        <f>$B$22*AC4*AC23*'CAPEX'!AC4/12</f>
      </c>
      <c r="AD24" s="4">
        <f>$B$22*AD4*AD23*'CAPEX'!AD4/12</f>
      </c>
      <c r="AE24" s="4">
        <f>$B$22*AE4*AE23*'CAPEX'!AE4/12</f>
      </c>
      <c r="AF24" s="4">
        <f>$B$22*AF4*AF23*'CAPEX'!AF4/12</f>
      </c>
      <c r="AG24" s="4">
        <f>$B$22*AG4*AG23*'CAPEX'!AG4/12</f>
      </c>
      <c r="AH24" s="4">
        <f>$B$22*AH4*AH23*'CAPEX'!AH4/12</f>
      </c>
      <c r="AI24" s="4">
        <f>$B$22*AI4*AI23*'CAPEX'!AI4/12</f>
      </c>
      <c r="AJ24" s="4">
        <f>$B$22*AJ4*AJ23*'CAPEX'!AJ4/12</f>
      </c>
      <c r="AK24" s="4">
        <f>$B$22*AK4*AK23*'CAPEX'!AK4/12</f>
      </c>
      <c r="AL24" s="4">
        <f>$B$22*AL4*AL23*'CAPEX'!AL4/12</f>
      </c>
      <c r="AM24" s="4">
        <f>$B$22*AM4*AM23*'CAPEX'!AM4/12</f>
      </c>
      <c r="AN24" s="4">
        <f>$B$22*AN4*AN23*'CAPEX'!AN4/12</f>
      </c>
      <c r="AO24" s="4">
        <f>$B$22*AO4*AO23*'CAPEX'!AO4/12</f>
      </c>
      <c r="AP24" s="4">
        <f>$B$22*AP4*AP23*'CAPEX'!AP4/12</f>
      </c>
      <c r="AQ24" s="4">
        <f>$B$22*AQ4*AQ23*'CAPEX'!AQ4/12</f>
      </c>
      <c r="AR24" s="4">
        <f>$B$22*AR4*AR23*'CAPEX'!AR4/12</f>
      </c>
    </row>
    <row r="25" spans="1:2" x14ac:dyDescent="0.25">
      <c r="A25" t="s">
        <v>143</v>
      </c>
      <c r="B25" s="4">
        <v>33900</v>
      </c>
    </row>
    <row r="26" spans="1:44" x14ac:dyDescent="0.25">
      <c r="A26" t="s">
        <v>144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0.5</v>
      </c>
      <c r="R26" s="16">
        <v>0.5</v>
      </c>
      <c r="S26" s="16">
        <v>0.5</v>
      </c>
      <c r="T26" s="16">
        <v>1</v>
      </c>
      <c r="U26" s="16">
        <v>1</v>
      </c>
      <c r="V26" s="16">
        <v>1</v>
      </c>
      <c r="W26" s="16">
        <v>1</v>
      </c>
      <c r="X26" s="16">
        <v>1</v>
      </c>
      <c r="Y26" s="16">
        <v>1</v>
      </c>
      <c r="Z26" s="16">
        <v>1</v>
      </c>
      <c r="AA26" s="16">
        <v>1</v>
      </c>
      <c r="AB26" s="16">
        <v>1</v>
      </c>
      <c r="AC26" s="16">
        <v>1</v>
      </c>
      <c r="AD26" s="16">
        <v>1</v>
      </c>
      <c r="AE26" s="16">
        <v>1</v>
      </c>
      <c r="AF26" s="16">
        <v>1</v>
      </c>
      <c r="AG26" s="16">
        <v>1</v>
      </c>
      <c r="AH26" s="16">
        <v>1</v>
      </c>
      <c r="AI26" s="16">
        <v>1</v>
      </c>
      <c r="AJ26" s="16">
        <v>1</v>
      </c>
      <c r="AK26" s="16">
        <v>1</v>
      </c>
      <c r="AL26" s="16">
        <v>1</v>
      </c>
      <c r="AM26" s="16">
        <v>1</v>
      </c>
      <c r="AN26" s="16">
        <v>1</v>
      </c>
      <c r="AO26" s="16">
        <v>1</v>
      </c>
      <c r="AP26" s="16">
        <v>1</v>
      </c>
      <c r="AQ26" s="16">
        <v>1</v>
      </c>
      <c r="AR26" s="16">
        <v>1</v>
      </c>
    </row>
    <row r="27" spans="1:44" x14ac:dyDescent="0.25">
      <c r="A27" t="s">
        <v>145</v>
      </c>
      <c r="B27" s="4">
        <f>$B$25*B4*B26*'CAPEX'!B4/12</f>
      </c>
      <c r="C27" s="4">
        <f>$B$25*C4*C26*'CAPEX'!C4/12</f>
      </c>
      <c r="D27" s="4">
        <f>$B$25*D4*D26*'CAPEX'!D4/12</f>
      </c>
      <c r="E27" s="4">
        <f>$B$25*E4*E26*'CAPEX'!E4/12</f>
      </c>
      <c r="F27" s="4">
        <f>$B$25*F4*F26*'CAPEX'!F4/12</f>
      </c>
      <c r="G27" s="4">
        <f>$B$25*G4*G26*'CAPEX'!G4/12</f>
      </c>
      <c r="H27" s="4">
        <f>$B$25*H4*H26*'CAPEX'!H4/12</f>
      </c>
      <c r="I27" s="4">
        <f>$B$25*I4*I26*'CAPEX'!I4/12</f>
      </c>
      <c r="J27" s="4">
        <f>$B$25*J4*J26*'CAPEX'!J4/12</f>
      </c>
      <c r="K27" s="4">
        <f>$B$25*K4*K26*'CAPEX'!K4/12</f>
      </c>
      <c r="L27" s="4">
        <f>$B$25*L4*L26*'CAPEX'!L4/12</f>
      </c>
      <c r="M27" s="4">
        <f>$B$25*M4*M26*'CAPEX'!M4/12</f>
      </c>
      <c r="N27" s="4">
        <f>$B$25*N4*N26*'CAPEX'!N4/12</f>
      </c>
      <c r="O27" s="4">
        <f>$B$25*O4*O26*'CAPEX'!O4/12</f>
      </c>
      <c r="P27" s="4">
        <f>$B$25*P4*P26*'CAPEX'!P4/12</f>
      </c>
      <c r="Q27" s="4">
        <f>$B$25*Q4*Q26*'CAPEX'!Q4/12</f>
      </c>
      <c r="R27" s="4">
        <f>$B$25*R4*R26*'CAPEX'!R4/12</f>
      </c>
      <c r="S27" s="4">
        <f>$B$25*S4*S26*'CAPEX'!S4/12</f>
      </c>
      <c r="T27" s="4">
        <f>$B$25*T4*T26*'CAPEX'!T4/12</f>
      </c>
      <c r="U27" s="4">
        <f>$B$25*U4*U26*'CAPEX'!U4/12</f>
      </c>
      <c r="V27" s="4">
        <f>$B$25*V4*V26*'CAPEX'!V4/12</f>
      </c>
      <c r="W27" s="4">
        <f>$B$25*W4*W26*'CAPEX'!W4/12</f>
      </c>
      <c r="X27" s="4">
        <f>$B$25*X4*X26*'CAPEX'!X4/12</f>
      </c>
      <c r="Y27" s="4">
        <f>$B$25*Y4*Y26*'CAPEX'!Y4/12</f>
      </c>
      <c r="Z27" s="4">
        <f>$B$25*Z4*Z26*'CAPEX'!Z4/12</f>
      </c>
      <c r="AA27" s="4">
        <f>$B$25*AA4*AA26*'CAPEX'!AA4/12</f>
      </c>
      <c r="AB27" s="4">
        <f>$B$25*AB4*AB26*'CAPEX'!AB4/12</f>
      </c>
      <c r="AC27" s="4">
        <f>$B$25*AC4*AC26*'CAPEX'!AC4/12</f>
      </c>
      <c r="AD27" s="4">
        <f>$B$25*AD4*AD26*'CAPEX'!AD4/12</f>
      </c>
      <c r="AE27" s="4">
        <f>$B$25*AE4*AE26*'CAPEX'!AE4/12</f>
      </c>
      <c r="AF27" s="4">
        <f>$B$25*AF4*AF26*'CAPEX'!AF4/12</f>
      </c>
      <c r="AG27" s="4">
        <f>$B$25*AG4*AG26*'CAPEX'!AG4/12</f>
      </c>
      <c r="AH27" s="4">
        <f>$B$25*AH4*AH26*'CAPEX'!AH4/12</f>
      </c>
      <c r="AI27" s="4">
        <f>$B$25*AI4*AI26*'CAPEX'!AI4/12</f>
      </c>
      <c r="AJ27" s="4">
        <f>$B$25*AJ4*AJ26*'CAPEX'!AJ4/12</f>
      </c>
      <c r="AK27" s="4">
        <f>$B$25*AK4*AK26*'CAPEX'!AK4/12</f>
      </c>
      <c r="AL27" s="4">
        <f>$B$25*AL4*AL26*'CAPEX'!AL4/12</f>
      </c>
      <c r="AM27" s="4">
        <f>$B$25*AM4*AM26*'CAPEX'!AM4/12</f>
      </c>
      <c r="AN27" s="4">
        <f>$B$25*AN4*AN26*'CAPEX'!AN4/12</f>
      </c>
      <c r="AO27" s="4">
        <f>$B$25*AO4*AO26*'CAPEX'!AO4/12</f>
      </c>
      <c r="AP27" s="4">
        <f>$B$25*AP4*AP26*'CAPEX'!AP4/12</f>
      </c>
      <c r="AQ27" s="4">
        <f>$B$25*AQ4*AQ26*'CAPEX'!AQ4/12</f>
      </c>
      <c r="AR27" s="4">
        <f>$B$25*AR4*AR26*'CAPEX'!AR4/12</f>
      </c>
    </row>
    <row r="28" spans="1:44" x14ac:dyDescent="0.25">
      <c r="A28" s="10" t="s">
        <v>146</v>
      </c>
      <c r="B28" s="11">
        <f>B9+B12+B15+B18+B21+B24+B27</f>
      </c>
      <c r="C28" s="11">
        <f>C9+C12+C15+C18+C21+C24+C27</f>
      </c>
      <c r="D28" s="11">
        <f>D9+D12+D15+D18+D21+D24+D27</f>
      </c>
      <c r="E28" s="11">
        <f>E9+E12+E15+E18+E21+E24+E27</f>
      </c>
      <c r="F28" s="11">
        <f>F9+F12+F15+F18+F21+F24+F27</f>
      </c>
      <c r="G28" s="11">
        <f>G9+G12+G15+G18+G21+G24+G27</f>
      </c>
      <c r="H28" s="11">
        <f>H9+H12+H15+H18+H21+H24+H27</f>
      </c>
      <c r="I28" s="11">
        <f>I9+I12+I15+I18+I21+I24+I27</f>
      </c>
      <c r="J28" s="11">
        <f>J9+J12+J15+J18+J21+J24+J27</f>
      </c>
      <c r="K28" s="11">
        <f>K9+K12+K15+K18+K21+K24+K27</f>
      </c>
      <c r="L28" s="11">
        <f>L9+L12+L15+L18+L21+L24+L27</f>
      </c>
      <c r="M28" s="11">
        <f>M9+M12+M15+M18+M21+M24+M27</f>
      </c>
      <c r="N28" s="11">
        <f>N9+N12+N15+N18+N21+N24+N27</f>
      </c>
      <c r="O28" s="11">
        <f>O9+O12+O15+O18+O21+O24+O27</f>
      </c>
      <c r="P28" s="11">
        <f>P9+P12+P15+P18+P21+P24+P27</f>
      </c>
      <c r="Q28" s="11">
        <f>Q9+Q12+Q15+Q18+Q21+Q24+Q27</f>
      </c>
      <c r="R28" s="11">
        <f>R9+R12+R15+R18+R21+R24+R27</f>
      </c>
      <c r="S28" s="11">
        <f>S9+S12+S15+S18+S21+S24+S27</f>
      </c>
      <c r="T28" s="11">
        <f>T9+T12+T15+T18+T21+T24+T27</f>
      </c>
      <c r="U28" s="11">
        <f>U9+U12+U15+U18+U21+U24+U27</f>
      </c>
      <c r="V28" s="11">
        <f>V9+V12+V15+V18+V21+V24+V27</f>
      </c>
      <c r="W28" s="11">
        <f>W9+W12+W15+W18+W21+W24+W27</f>
      </c>
      <c r="X28" s="11">
        <f>X9+X12+X15+X18+X21+X24+X27</f>
      </c>
      <c r="Y28" s="11">
        <f>Y9+Y12+Y15+Y18+Y21+Y24+Y27</f>
      </c>
      <c r="Z28" s="11">
        <f>Z9+Z12+Z15+Z18+Z21+Z24+Z27</f>
      </c>
      <c r="AA28" s="11">
        <f>AA9+AA12+AA15+AA18+AA21+AA24+AA27</f>
      </c>
      <c r="AB28" s="11">
        <f>AB9+AB12+AB15+AB18+AB21+AB24+AB27</f>
      </c>
      <c r="AC28" s="11">
        <f>AC9+AC12+AC15+AC18+AC21+AC24+AC27</f>
      </c>
      <c r="AD28" s="11">
        <f>AD9+AD12+AD15+AD18+AD21+AD24+AD27</f>
      </c>
      <c r="AE28" s="11">
        <f>AE9+AE12+AE15+AE18+AE21+AE24+AE27</f>
      </c>
      <c r="AF28" s="11">
        <f>AF9+AF12+AF15+AF18+AF21+AF24+AF27</f>
      </c>
      <c r="AG28" s="11">
        <f>AG9+AG12+AG15+AG18+AG21+AG24+AG27</f>
      </c>
      <c r="AH28" s="11">
        <f>AH9+AH12+AH15+AH18+AH21+AH24+AH27</f>
      </c>
      <c r="AI28" s="11">
        <f>AI9+AI12+AI15+AI18+AI21+AI24+AI27</f>
      </c>
      <c r="AJ28" s="11">
        <f>AJ9+AJ12+AJ15+AJ18+AJ21+AJ24+AJ27</f>
      </c>
      <c r="AK28" s="11">
        <f>AK9+AK12+AK15+AK18+AK21+AK24+AK27</f>
      </c>
      <c r="AL28" s="11">
        <f>AL9+AL12+AL15+AL18+AL21+AL24+AL27</f>
      </c>
      <c r="AM28" s="11">
        <f>AM9+AM12+AM15+AM18+AM21+AM24+AM27</f>
      </c>
      <c r="AN28" s="11">
        <f>AN9+AN12+AN15+AN18+AN21+AN24+AN27</f>
      </c>
      <c r="AO28" s="11">
        <f>AO9+AO12+AO15+AO18+AO21+AO24+AO27</f>
      </c>
      <c r="AP28" s="11">
        <f>AP9+AP12+AP15+AP18+AP21+AP24+AP27</f>
      </c>
      <c r="AQ28" s="11">
        <f>AQ9+AQ12+AQ15+AQ18+AQ21+AQ24+AQ27</f>
      </c>
      <c r="AR28" s="11">
        <f>AR9+AR12+AR15+AR18+AR21+AR24+AR27</f>
      </c>
    </row>
    <row r="30" spans="1:44" x14ac:dyDescent="0.25">
      <c r="A30" t="s">
        <v>147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</row>
    <row r="31" spans="1:2" x14ac:dyDescent="0.25">
      <c r="A31" t="s">
        <v>148</v>
      </c>
      <c r="B31" s="2">
        <v>0.015</v>
      </c>
    </row>
    <row r="32" spans="1:44" x14ac:dyDescent="0.25">
      <c r="A32" t="s">
        <v>149</v>
      </c>
      <c r="B32" s="4">
        <f>B30*B5+$B$31*'CAPEX'!B40*'CAPEX'!B4/12</f>
      </c>
      <c r="C32" s="4">
        <f>C30*C5+$B$31*'CAPEX'!C40*'CAPEX'!C4/12</f>
      </c>
      <c r="D32" s="4">
        <f>D30*D5+$B$31*'CAPEX'!D40*'CAPEX'!D4/12</f>
      </c>
      <c r="E32" s="4">
        <f>E30*E5+$B$31*'CAPEX'!E40*'CAPEX'!E4/12</f>
      </c>
      <c r="F32" s="4">
        <f>F30*F5+$B$31*'CAPEX'!F40*'CAPEX'!F4/12</f>
      </c>
      <c r="G32" s="4">
        <f>G30*G5+$B$31*'CAPEX'!G40*'CAPEX'!G4/12</f>
      </c>
      <c r="H32" s="4">
        <f>H30*H5+$B$31*'CAPEX'!H40*'CAPEX'!H4/12</f>
      </c>
      <c r="I32" s="4">
        <f>I30*I5+$B$31*'CAPEX'!I40*'CAPEX'!I4/12</f>
      </c>
      <c r="J32" s="4">
        <f>J30*J5+$B$31*'CAPEX'!J40*'CAPEX'!J4/12</f>
      </c>
      <c r="K32" s="4">
        <f>K30*K5+$B$31*'CAPEX'!K40*'CAPEX'!K4/12</f>
      </c>
      <c r="L32" s="4">
        <f>L30*L5+$B$31*'CAPEX'!L40*'CAPEX'!L4/12</f>
      </c>
      <c r="M32" s="4">
        <f>M30*M5+$B$31*'CAPEX'!M40*'CAPEX'!M4/12</f>
      </c>
      <c r="N32" s="4">
        <f>N30*N5+$B$31*'CAPEX'!N40*'CAPEX'!N4/12</f>
      </c>
      <c r="O32" s="4">
        <f>O30*O5+$B$31*'CAPEX'!O40*'CAPEX'!O4/12</f>
      </c>
      <c r="P32" s="4">
        <f>P30*P5+$B$31*'CAPEX'!P40*'CAPEX'!P4/12</f>
      </c>
      <c r="Q32" s="4">
        <f>Q30*Q5+$B$31*'CAPEX'!Q40*'CAPEX'!Q4/12</f>
      </c>
      <c r="R32" s="4">
        <f>R30*R5+$B$31*'CAPEX'!R40*'CAPEX'!R4/12</f>
      </c>
      <c r="S32" s="4">
        <f>S30*S5+$B$31*'CAPEX'!S40*'CAPEX'!S4/12</f>
      </c>
      <c r="T32" s="4">
        <f>T30*T5+$B$31*'CAPEX'!T40*'CAPEX'!T4/12</f>
      </c>
      <c r="U32" s="4">
        <f>U30*U5+$B$31*'CAPEX'!U40*'CAPEX'!U4/12</f>
      </c>
      <c r="V32" s="4">
        <f>V30*V5+$B$31*'CAPEX'!V40*'CAPEX'!V4/12</f>
      </c>
      <c r="W32" s="4">
        <f>W30*W5+$B$31*'CAPEX'!W40*'CAPEX'!W4/12</f>
      </c>
      <c r="X32" s="4">
        <f>X30*X5+$B$31*'CAPEX'!X40*'CAPEX'!X4/12</f>
      </c>
      <c r="Y32" s="4">
        <f>Y30*Y5+$B$31*'CAPEX'!Y40*'CAPEX'!Y4/12</f>
      </c>
      <c r="Z32" s="4">
        <f>Z30*Z5+$B$31*'CAPEX'!Z40*'CAPEX'!Z4/12</f>
      </c>
      <c r="AA32" s="4">
        <f>AA30*AA5+$B$31*'CAPEX'!AA40*'CAPEX'!AA4/12</f>
      </c>
      <c r="AB32" s="4">
        <f>AB30*AB5+$B$31*'CAPEX'!AB40*'CAPEX'!AB4/12</f>
      </c>
      <c r="AC32" s="4">
        <f>AC30*AC5+$B$31*'CAPEX'!AC40*'CAPEX'!AC4/12</f>
      </c>
      <c r="AD32" s="4">
        <f>AD30*AD5+$B$31*'CAPEX'!AD40*'CAPEX'!AD4/12</f>
      </c>
      <c r="AE32" s="4">
        <f>AE30*AE5+$B$31*'CAPEX'!AE40*'CAPEX'!AE4/12</f>
      </c>
      <c r="AF32" s="4">
        <f>AF30*AF5+$B$31*'CAPEX'!AF40*'CAPEX'!AF4/12</f>
      </c>
      <c r="AG32" s="4">
        <f>AG30*AG5+$B$31*'CAPEX'!AG40*'CAPEX'!AG4/12</f>
      </c>
      <c r="AH32" s="4">
        <f>AH30*AH5+$B$31*'CAPEX'!AH40*'CAPEX'!AH4/12</f>
      </c>
      <c r="AI32" s="4">
        <f>AI30*AI5+$B$31*'CAPEX'!AI40*'CAPEX'!AI4/12</f>
      </c>
      <c r="AJ32" s="4">
        <f>AJ30*AJ5+$B$31*'CAPEX'!AJ40*'CAPEX'!AJ4/12</f>
      </c>
      <c r="AK32" s="4">
        <f>AK30*AK5+$B$31*'CAPEX'!AK40*'CAPEX'!AK4/12</f>
      </c>
      <c r="AL32" s="4">
        <f>AL30*AL5+$B$31*'CAPEX'!AL40*'CAPEX'!AL4/12</f>
      </c>
      <c r="AM32" s="4">
        <f>AM30*AM5+$B$31*'CAPEX'!AM40*'CAPEX'!AM4/12</f>
      </c>
      <c r="AN32" s="4">
        <f>AN30*AN5+$B$31*'CAPEX'!AN40*'CAPEX'!AN4/12</f>
      </c>
      <c r="AO32" s="4">
        <f>AO30*AO5+$B$31*'CAPEX'!AO40*'CAPEX'!AO4/12</f>
      </c>
      <c r="AP32" s="4">
        <f>AP30*AP5+$B$31*'CAPEX'!AP40*'CAPEX'!AP4/12</f>
      </c>
      <c r="AQ32" s="4">
        <f>AQ30*AQ5+$B$31*'CAPEX'!AQ40*'CAPEX'!AQ4/12</f>
      </c>
      <c r="AR32" s="4">
        <f>AR30*AR5+$B$31*'CAPEX'!AR40*'CAPEX'!AR4/12</f>
      </c>
    </row>
    <row r="33" spans="1:44" x14ac:dyDescent="0.25">
      <c r="A33" t="s">
        <v>150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10000</v>
      </c>
      <c r="R33" s="4">
        <v>10000</v>
      </c>
      <c r="S33" s="4">
        <v>10000</v>
      </c>
      <c r="T33" s="4">
        <v>10000</v>
      </c>
      <c r="U33" s="4">
        <v>10000</v>
      </c>
      <c r="V33" s="4">
        <v>10000</v>
      </c>
      <c r="W33" s="4">
        <v>10000</v>
      </c>
      <c r="X33" s="4">
        <v>10000</v>
      </c>
      <c r="Y33" s="4">
        <v>10000</v>
      </c>
      <c r="Z33" s="4">
        <v>10000</v>
      </c>
      <c r="AA33" s="4">
        <v>10000</v>
      </c>
      <c r="AB33" s="4">
        <v>10000</v>
      </c>
      <c r="AC33" s="4">
        <v>10000</v>
      </c>
      <c r="AD33" s="4">
        <v>10000</v>
      </c>
      <c r="AE33" s="4">
        <v>10000</v>
      </c>
      <c r="AF33" s="4">
        <v>10000</v>
      </c>
      <c r="AG33" s="4">
        <v>10000</v>
      </c>
      <c r="AH33" s="4">
        <v>10000</v>
      </c>
      <c r="AI33" s="4">
        <v>10000</v>
      </c>
      <c r="AJ33" s="4">
        <v>10000</v>
      </c>
      <c r="AK33" s="4">
        <v>10000</v>
      </c>
      <c r="AL33" s="4">
        <v>120000</v>
      </c>
      <c r="AM33" s="4">
        <v>120000</v>
      </c>
      <c r="AN33" s="4">
        <v>120000</v>
      </c>
      <c r="AO33" s="4">
        <v>120000</v>
      </c>
      <c r="AP33" s="4">
        <v>120000</v>
      </c>
      <c r="AQ33" s="4">
        <v>120000</v>
      </c>
      <c r="AR33" s="4">
        <v>120000</v>
      </c>
    </row>
    <row r="34" spans="1:44" x14ac:dyDescent="0.25">
      <c r="A34" t="s">
        <v>151</v>
      </c>
      <c r="B34" s="4">
        <f>B33*B5</f>
      </c>
      <c r="C34" s="4">
        <f>C33*C5</f>
      </c>
      <c r="D34" s="4">
        <f>D33*D5</f>
      </c>
      <c r="E34" s="4">
        <f>E33*E5</f>
      </c>
      <c r="F34" s="4">
        <f>F33*F5</f>
      </c>
      <c r="G34" s="4">
        <f>G33*G5</f>
      </c>
      <c r="H34" s="4">
        <f>H33*H5</f>
      </c>
      <c r="I34" s="4">
        <f>I33*I5</f>
      </c>
      <c r="J34" s="4">
        <f>J33*J5</f>
      </c>
      <c r="K34" s="4">
        <f>K33*K5</f>
      </c>
      <c r="L34" s="4">
        <f>L33*L5</f>
      </c>
      <c r="M34" s="4">
        <f>M33*M5</f>
      </c>
      <c r="N34" s="4">
        <f>N33*N5</f>
      </c>
      <c r="O34" s="4">
        <f>O33*O5</f>
      </c>
      <c r="P34" s="4">
        <f>P33*P5</f>
      </c>
      <c r="Q34" s="4">
        <f>Q33*Q5</f>
      </c>
      <c r="R34" s="4">
        <f>R33*R5</f>
      </c>
      <c r="S34" s="4">
        <f>S33*S5</f>
      </c>
      <c r="T34" s="4">
        <f>T33*T5</f>
      </c>
      <c r="U34" s="4">
        <f>U33*U5</f>
      </c>
      <c r="V34" s="4">
        <f>V33*V5</f>
      </c>
      <c r="W34" s="4">
        <f>W33*W5</f>
      </c>
      <c r="X34" s="4">
        <f>X33*X5</f>
      </c>
      <c r="Y34" s="4">
        <f>Y33*Y5</f>
      </c>
      <c r="Z34" s="4">
        <f>Z33*Z5</f>
      </c>
      <c r="AA34" s="4">
        <f>AA33*AA5</f>
      </c>
      <c r="AB34" s="4">
        <f>AB33*AB5</f>
      </c>
      <c r="AC34" s="4">
        <f>AC33*AC5</f>
      </c>
      <c r="AD34" s="4">
        <f>AD33*AD5</f>
      </c>
      <c r="AE34" s="4">
        <f>AE33*AE5</f>
      </c>
      <c r="AF34" s="4">
        <f>AF33*AF5</f>
      </c>
      <c r="AG34" s="4">
        <f>AG33*AG5</f>
      </c>
      <c r="AH34" s="4">
        <f>AH33*AH5</f>
      </c>
      <c r="AI34" s="4">
        <f>AI33*AI5</f>
      </c>
      <c r="AJ34" s="4">
        <f>AJ33*AJ5</f>
      </c>
      <c r="AK34" s="4">
        <f>AK33*AK5</f>
      </c>
      <c r="AL34" s="4">
        <f>AL33*AL5</f>
      </c>
      <c r="AM34" s="4">
        <f>AM33*AM5</f>
      </c>
      <c r="AN34" s="4">
        <f>AN33*AN5</f>
      </c>
      <c r="AO34" s="4">
        <f>AO33*AO5</f>
      </c>
      <c r="AP34" s="4">
        <f>AP33*AP5</f>
      </c>
      <c r="AQ34" s="4">
        <f>AQ33*AQ5</f>
      </c>
      <c r="AR34" s="4">
        <f>AR33*AR5</f>
      </c>
    </row>
    <row r="35" spans="1:44" x14ac:dyDescent="0.25">
      <c r="A35" t="s">
        <v>152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</row>
    <row r="36" spans="1:44" x14ac:dyDescent="0.25">
      <c r="A36" t="s">
        <v>153</v>
      </c>
      <c r="B36" s="4">
        <f>B35*B5</f>
      </c>
      <c r="C36" s="4">
        <f>C35*C5</f>
      </c>
      <c r="D36" s="4">
        <f>D35*D5</f>
      </c>
      <c r="E36" s="4">
        <f>E35*E5</f>
      </c>
      <c r="F36" s="4">
        <f>F35*F5</f>
      </c>
      <c r="G36" s="4">
        <f>G35*G5</f>
      </c>
      <c r="H36" s="4">
        <f>H35*H5</f>
      </c>
      <c r="I36" s="4">
        <f>I35*I5</f>
      </c>
      <c r="J36" s="4">
        <f>J35*J5</f>
      </c>
      <c r="K36" s="4">
        <f>K35*K5</f>
      </c>
      <c r="L36" s="4">
        <f>L35*L5</f>
      </c>
      <c r="M36" s="4">
        <f>M35*M5</f>
      </c>
      <c r="N36" s="4">
        <f>N35*N5</f>
      </c>
      <c r="O36" s="4">
        <f>O35*O5</f>
      </c>
      <c r="P36" s="4">
        <f>P35*P5</f>
      </c>
      <c r="Q36" s="4">
        <f>Q35*Q5</f>
      </c>
      <c r="R36" s="4">
        <f>R35*R5</f>
      </c>
      <c r="S36" s="4">
        <f>S35*S5</f>
      </c>
      <c r="T36" s="4">
        <f>T35*T5</f>
      </c>
      <c r="U36" s="4">
        <f>U35*U5</f>
      </c>
      <c r="V36" s="4">
        <f>V35*V5</f>
      </c>
      <c r="W36" s="4">
        <f>W35*W5</f>
      </c>
      <c r="X36" s="4">
        <f>X35*X5</f>
      </c>
      <c r="Y36" s="4">
        <f>Y35*Y5</f>
      </c>
      <c r="Z36" s="4">
        <f>Z35*Z5</f>
      </c>
      <c r="AA36" s="4">
        <f>AA35*AA5</f>
      </c>
      <c r="AB36" s="4">
        <f>AB35*AB5</f>
      </c>
      <c r="AC36" s="4">
        <f>AC35*AC5</f>
      </c>
      <c r="AD36" s="4">
        <f>AD35*AD5</f>
      </c>
      <c r="AE36" s="4">
        <f>AE35*AE5</f>
      </c>
      <c r="AF36" s="4">
        <f>AF35*AF5</f>
      </c>
      <c r="AG36" s="4">
        <f>AG35*AG5</f>
      </c>
      <c r="AH36" s="4">
        <f>AH35*AH5</f>
      </c>
      <c r="AI36" s="4">
        <f>AI35*AI5</f>
      </c>
      <c r="AJ36" s="4">
        <f>AJ35*AJ5</f>
      </c>
      <c r="AK36" s="4">
        <f>AK35*AK5</f>
      </c>
      <c r="AL36" s="4">
        <f>AL35*AL5</f>
      </c>
      <c r="AM36" s="4">
        <f>AM35*AM5</f>
      </c>
      <c r="AN36" s="4">
        <f>AN35*AN5</f>
      </c>
      <c r="AO36" s="4">
        <f>AO35*AO5</f>
      </c>
      <c r="AP36" s="4">
        <f>AP35*AP5</f>
      </c>
      <c r="AQ36" s="4">
        <f>AQ35*AQ5</f>
      </c>
      <c r="AR36" s="4">
        <f>AR35*AR5</f>
      </c>
    </row>
    <row r="37" spans="1:44" x14ac:dyDescent="0.25">
      <c r="A37" s="10" t="s">
        <v>154</v>
      </c>
      <c r="B37" s="11">
        <f>B32+B34+B36</f>
      </c>
      <c r="C37" s="11">
        <f>C32+C34+C36</f>
      </c>
      <c r="D37" s="11">
        <f>D32+D34+D36</f>
      </c>
      <c r="E37" s="11">
        <f>E32+E34+E36</f>
      </c>
      <c r="F37" s="11">
        <f>F32+F34+F36</f>
      </c>
      <c r="G37" s="11">
        <f>G32+G34+G36</f>
      </c>
      <c r="H37" s="11">
        <f>H32+H34+H36</f>
      </c>
      <c r="I37" s="11">
        <f>I32+I34+I36</f>
      </c>
      <c r="J37" s="11">
        <f>J32+J34+J36</f>
      </c>
      <c r="K37" s="11">
        <f>K32+K34+K36</f>
      </c>
      <c r="L37" s="11">
        <f>L32+L34+L36</f>
      </c>
      <c r="M37" s="11">
        <f>M32+M34+M36</f>
      </c>
      <c r="N37" s="11">
        <f>N32+N34+N36</f>
      </c>
      <c r="O37" s="11">
        <f>O32+O34+O36</f>
      </c>
      <c r="P37" s="11">
        <f>P32+P34+P36</f>
      </c>
      <c r="Q37" s="11">
        <f>Q32+Q34+Q36</f>
      </c>
      <c r="R37" s="11">
        <f>R32+R34+R36</f>
      </c>
      <c r="S37" s="11">
        <f>S32+S34+S36</f>
      </c>
      <c r="T37" s="11">
        <f>T32+T34+T36</f>
      </c>
      <c r="U37" s="11">
        <f>U32+U34+U36</f>
      </c>
      <c r="V37" s="11">
        <f>V32+V34+V36</f>
      </c>
      <c r="W37" s="11">
        <f>W32+W34+W36</f>
      </c>
      <c r="X37" s="11">
        <f>X32+X34+X36</f>
      </c>
      <c r="Y37" s="11">
        <f>Y32+Y34+Y36</f>
      </c>
      <c r="Z37" s="11">
        <f>Z32+Z34+Z36</f>
      </c>
      <c r="AA37" s="11">
        <f>AA32+AA34+AA36</f>
      </c>
      <c r="AB37" s="11">
        <f>AB32+AB34+AB36</f>
      </c>
      <c r="AC37" s="11">
        <f>AC32+AC34+AC36</f>
      </c>
      <c r="AD37" s="11">
        <f>AD32+AD34+AD36</f>
      </c>
      <c r="AE37" s="11">
        <f>AE32+AE34+AE36</f>
      </c>
      <c r="AF37" s="11">
        <f>AF32+AF34+AF36</f>
      </c>
      <c r="AG37" s="11">
        <f>AG32+AG34+AG36</f>
      </c>
      <c r="AH37" s="11">
        <f>AH32+AH34+AH36</f>
      </c>
      <c r="AI37" s="11">
        <f>AI32+AI34+AI36</f>
      </c>
      <c r="AJ37" s="11">
        <f>AJ32+AJ34+AJ36</f>
      </c>
      <c r="AK37" s="11">
        <f>AK32+AK34+AK36</f>
      </c>
      <c r="AL37" s="11">
        <f>AL32+AL34+AL36</f>
      </c>
      <c r="AM37" s="11">
        <f>AM32+AM34+AM36</f>
      </c>
      <c r="AN37" s="11">
        <f>AN32+AN34+AN36</f>
      </c>
      <c r="AO37" s="11">
        <f>AO32+AO34+AO36</f>
      </c>
      <c r="AP37" s="11">
        <f>AP32+AP34+AP36</f>
      </c>
      <c r="AQ37" s="11">
        <f>AQ32+AQ34+AQ36</f>
      </c>
      <c r="AR37" s="11">
        <f>AR32+AR34+AR36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FormatPr defaultRowHeight="15" outlineLevelRow="0" outlineLevelCol="0" x14ac:dyDescent="55"/>
  <cols>
    <col min="1" max="1" width="32" customWidth="1"/>
    <col min="2" max="2" width="12" customWidth="1"/>
    <col min="3" max="3" width="15" customWidth="1"/>
    <col min="4" max="4" width="13" customWidth="1"/>
    <col min="5" max="5" width="10" customWidth="1"/>
    <col min="6" max="7" width="11" customWidth="1"/>
    <col min="8" max="9" width="12" customWidth="1"/>
  </cols>
  <sheetData>
    <row r="1" spans="1:1" s="1" customFormat="1" x14ac:dyDescent="0.25">
      <c r="A1" s="1" t="s">
        <v>155</v>
      </c>
    </row>
    <row r="3" spans="1:9" x14ac:dyDescent="0.25">
      <c r="A3" s="6" t="s">
        <v>156</v>
      </c>
      <c r="B3" s="6" t="s">
        <v>157</v>
      </c>
      <c r="C3" s="6" t="s">
        <v>158</v>
      </c>
      <c r="D3" s="6" t="s">
        <v>159</v>
      </c>
      <c r="E3" s="6" t="s">
        <v>160</v>
      </c>
      <c r="F3" s="6" t="s">
        <v>161</v>
      </c>
      <c r="G3" s="6" t="s">
        <v>162</v>
      </c>
      <c r="H3" s="6" t="s">
        <v>163</v>
      </c>
      <c r="I3" s="6" t="s">
        <v>164</v>
      </c>
    </row>
    <row r="4" spans="1:9" x14ac:dyDescent="0.25">
      <c r="A4" t="s">
        <v>165</v>
      </c>
      <c r="B4" t="s">
        <v>166</v>
      </c>
      <c r="C4" s="4">
        <v>10000000</v>
      </c>
      <c r="D4">
        <v>2</v>
      </c>
      <c r="E4" s="2">
        <v>0.04</v>
      </c>
      <c r="F4">
        <v>24</v>
      </c>
      <c r="G4">
        <v>120</v>
      </c>
      <c r="H4" t="s">
        <v>167</v>
      </c>
      <c r="I4" s="2">
        <v>0</v>
      </c>
    </row>
    <row r="5" spans="1:9" x14ac:dyDescent="0.25">
      <c r="A5" t="s">
        <v>168</v>
      </c>
      <c r="B5" t="s">
        <v>169</v>
      </c>
      <c r="C5" s="4">
        <v>2500000</v>
      </c>
      <c r="D5">
        <v>6</v>
      </c>
      <c r="E5" s="2" t="s">
        <v>170</v>
      </c>
      <c r="F5" t="s">
        <v>170</v>
      </c>
      <c r="G5" t="s">
        <v>170</v>
      </c>
      <c r="H5" t="s">
        <v>170</v>
      </c>
      <c r="I5" s="2" t="s">
        <v>170</v>
      </c>
    </row>
    <row r="6" spans="1:9" x14ac:dyDescent="0.25">
      <c r="A6" t="s">
        <v>171</v>
      </c>
      <c r="B6" t="s">
        <v>172</v>
      </c>
      <c r="C6" s="4">
        <v>17000000</v>
      </c>
      <c r="D6">
        <v>0</v>
      </c>
      <c r="E6" s="2" t="s">
        <v>170</v>
      </c>
      <c r="F6" t="s">
        <v>170</v>
      </c>
      <c r="G6" t="s">
        <v>170</v>
      </c>
      <c r="H6" t="s">
        <v>170</v>
      </c>
      <c r="I6" s="2" t="s">
        <v>170</v>
      </c>
    </row>
    <row r="8" spans="1:1" s="5" customFormat="1" x14ac:dyDescent="0.25">
      <c r="A8" s="5" t="s">
        <v>173</v>
      </c>
    </row>
    <row r="10" spans="1:44" x14ac:dyDescent="0.25">
      <c r="A10" s="6" t="s">
        <v>174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  <c r="AO10" s="6" t="s">
        <v>57</v>
      </c>
      <c r="AP10" s="6" t="s">
        <v>58</v>
      </c>
      <c r="AQ10" s="6" t="s">
        <v>59</v>
      </c>
      <c r="AR10" s="6" t="s">
        <v>60</v>
      </c>
    </row>
    <row r="11" spans="1:44" x14ac:dyDescent="0.25">
      <c r="A11" t="s">
        <v>175</v>
      </c>
      <c r="B11" s="4">
        <v>0</v>
      </c>
      <c r="C11" s="4">
        <v>0</v>
      </c>
      <c r="D11" s="4">
        <v>10000000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</row>
    <row r="12" spans="1:44" x14ac:dyDescent="0.25">
      <c r="A12" t="s">
        <v>176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104166.66666666667</v>
      </c>
      <c r="AC12" s="4">
        <v>104166.66666666667</v>
      </c>
      <c r="AD12" s="4">
        <v>104166.66666666667</v>
      </c>
      <c r="AE12" s="4">
        <v>104166.66666666667</v>
      </c>
      <c r="AF12" s="4">
        <v>104166.66666666667</v>
      </c>
      <c r="AG12" s="4">
        <v>104166.66666666667</v>
      </c>
      <c r="AH12" s="4">
        <v>104166.66666666667</v>
      </c>
      <c r="AI12" s="4">
        <v>104166.66666666667</v>
      </c>
      <c r="AJ12" s="4">
        <v>104166.66666666667</v>
      </c>
      <c r="AK12" s="4">
        <v>104166.66666666667</v>
      </c>
      <c r="AL12" s="4">
        <v>1250000</v>
      </c>
      <c r="AM12" s="4">
        <v>1250000</v>
      </c>
      <c r="AN12" s="4">
        <v>1250000</v>
      </c>
      <c r="AO12" s="4">
        <v>1250000</v>
      </c>
      <c r="AP12" s="4">
        <v>1250000</v>
      </c>
      <c r="AQ12" s="4">
        <v>1250000</v>
      </c>
      <c r="AR12" s="4">
        <v>1250000</v>
      </c>
    </row>
    <row r="13" spans="1:44" x14ac:dyDescent="0.25">
      <c r="A13" t="s">
        <v>177</v>
      </c>
      <c r="B13" s="4">
        <v>0</v>
      </c>
      <c r="C13" s="4">
        <v>0</v>
      </c>
      <c r="D13" s="4">
        <v>33333.333333333336</v>
      </c>
      <c r="E13" s="4">
        <v>33333.333333333336</v>
      </c>
      <c r="F13" s="4">
        <v>33333.333333333336</v>
      </c>
      <c r="G13" s="4">
        <v>33333.333333333336</v>
      </c>
      <c r="H13" s="4">
        <v>33333.333333333336</v>
      </c>
      <c r="I13" s="4">
        <v>33333.333333333336</v>
      </c>
      <c r="J13" s="4">
        <v>33333.333333333336</v>
      </c>
      <c r="K13" s="4">
        <v>33333.333333333336</v>
      </c>
      <c r="L13" s="4">
        <v>33333.333333333336</v>
      </c>
      <c r="M13" s="4">
        <v>33333.333333333336</v>
      </c>
      <c r="N13" s="4">
        <v>33333.333333333336</v>
      </c>
      <c r="O13" s="4">
        <v>33333.333333333336</v>
      </c>
      <c r="P13" s="4">
        <v>33333.333333333336</v>
      </c>
      <c r="Q13" s="4">
        <v>33333.333333333336</v>
      </c>
      <c r="R13" s="4">
        <v>33333.333333333336</v>
      </c>
      <c r="S13" s="4">
        <v>33333.333333333336</v>
      </c>
      <c r="T13" s="4">
        <v>33333.333333333336</v>
      </c>
      <c r="U13" s="4">
        <v>33333.333333333336</v>
      </c>
      <c r="V13" s="4">
        <v>33333.333333333336</v>
      </c>
      <c r="W13" s="4">
        <v>33333.333333333336</v>
      </c>
      <c r="X13" s="4">
        <v>33333.333333333336</v>
      </c>
      <c r="Y13" s="4">
        <v>33333.333333333336</v>
      </c>
      <c r="Z13" s="4">
        <v>33333.333333333336</v>
      </c>
      <c r="AA13" s="4">
        <v>33333.333333333336</v>
      </c>
      <c r="AB13" s="4">
        <v>33333.333333333336</v>
      </c>
      <c r="AC13" s="4">
        <v>32986.11111111112</v>
      </c>
      <c r="AD13" s="4">
        <v>32638.888888888894</v>
      </c>
      <c r="AE13" s="4">
        <v>32291.666666666675</v>
      </c>
      <c r="AF13" s="4">
        <v>31944.444444444456</v>
      </c>
      <c r="AG13" s="4">
        <v>31597.222222222234</v>
      </c>
      <c r="AH13" s="4">
        <v>31250.000000000015</v>
      </c>
      <c r="AI13" s="4">
        <v>30902.777777777796</v>
      </c>
      <c r="AJ13" s="4">
        <v>30555.555555555573</v>
      </c>
      <c r="AK13" s="4">
        <v>30208.333333333354</v>
      </c>
      <c r="AL13" s="4">
        <v>335416.66666666704</v>
      </c>
      <c r="AM13" s="4">
        <v>285416.66666666686</v>
      </c>
      <c r="AN13" s="4">
        <v>235416.66666666674</v>
      </c>
      <c r="AO13" s="4">
        <v>185416.6666666666</v>
      </c>
      <c r="AP13" s="4">
        <v>135416.6666666666</v>
      </c>
      <c r="AQ13" s="4">
        <v>85416.66666666667</v>
      </c>
      <c r="AR13" s="4">
        <v>35416.666666666635</v>
      </c>
    </row>
    <row r="14" spans="1:44" x14ac:dyDescent="0.25">
      <c r="A14" t="s">
        <v>178</v>
      </c>
      <c r="B14" s="4">
        <v>0</v>
      </c>
      <c r="C14" s="4">
        <v>0</v>
      </c>
      <c r="D14" s="4">
        <v>10000000</v>
      </c>
      <c r="E14" s="4">
        <v>10000000</v>
      </c>
      <c r="F14" s="4">
        <v>10000000</v>
      </c>
      <c r="G14" s="4">
        <v>10000000</v>
      </c>
      <c r="H14" s="4">
        <v>10000000</v>
      </c>
      <c r="I14" s="4">
        <v>10000000</v>
      </c>
      <c r="J14" s="4">
        <v>10000000</v>
      </c>
      <c r="K14" s="4">
        <v>10000000</v>
      </c>
      <c r="L14" s="4">
        <v>10000000</v>
      </c>
      <c r="M14" s="4">
        <v>10000000</v>
      </c>
      <c r="N14" s="4">
        <v>10000000</v>
      </c>
      <c r="O14" s="4">
        <v>10000000</v>
      </c>
      <c r="P14" s="4">
        <v>10000000</v>
      </c>
      <c r="Q14" s="4">
        <v>10000000</v>
      </c>
      <c r="R14" s="4">
        <v>10000000</v>
      </c>
      <c r="S14" s="4">
        <v>10000000</v>
      </c>
      <c r="T14" s="4">
        <v>10000000</v>
      </c>
      <c r="U14" s="4">
        <v>10000000</v>
      </c>
      <c r="V14" s="4">
        <v>10000000</v>
      </c>
      <c r="W14" s="4">
        <v>10000000</v>
      </c>
      <c r="X14" s="4">
        <v>10000000</v>
      </c>
      <c r="Y14" s="4">
        <v>10000000</v>
      </c>
      <c r="Z14" s="4">
        <v>10000000</v>
      </c>
      <c r="AA14" s="4">
        <v>10000000</v>
      </c>
      <c r="AB14" s="4">
        <v>9895833.333333334</v>
      </c>
      <c r="AC14" s="4">
        <v>9791666.666666668</v>
      </c>
      <c r="AD14" s="4">
        <v>9687500.000000002</v>
      </c>
      <c r="AE14" s="4">
        <v>9583333.333333336</v>
      </c>
      <c r="AF14" s="4">
        <v>9479166.66666667</v>
      </c>
      <c r="AG14" s="4">
        <v>9375000.000000004</v>
      </c>
      <c r="AH14" s="4">
        <v>9270833.333333338</v>
      </c>
      <c r="AI14" s="4">
        <v>9166666.666666672</v>
      </c>
      <c r="AJ14" s="4">
        <v>9062500.000000006</v>
      </c>
      <c r="AK14" s="4">
        <v>8958333.33333334</v>
      </c>
      <c r="AL14" s="4">
        <v>7708333.3333333405</v>
      </c>
      <c r="AM14" s="4">
        <v>6458333.333333337</v>
      </c>
      <c r="AN14" s="4">
        <v>5208333.333333333</v>
      </c>
      <c r="AO14" s="4">
        <v>3958333.3333333307</v>
      </c>
      <c r="AP14" s="4">
        <v>2708333.3333333326</v>
      </c>
      <c r="AQ14" s="4">
        <v>1458333.3333333328</v>
      </c>
      <c r="AR14" s="4">
        <v>208333.33333333267</v>
      </c>
    </row>
    <row r="15" spans="1:44" x14ac:dyDescent="0.25">
      <c r="A15" t="s">
        <v>179</v>
      </c>
      <c r="B15" s="4">
        <v>17000000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</row>
    <row r="16" spans="1:44" x14ac:dyDescent="0.25">
      <c r="A16" t="s">
        <v>180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2500000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"/>
  <sheetFormatPr defaultRowHeight="15" outlineLevelRow="0" outlineLevelCol="0" x14ac:dyDescent="55"/>
  <cols>
    <col min="1" max="1" width="42" customWidth="1"/>
    <col min="2" max="44" width="13" customWidth="1"/>
  </cols>
  <sheetData>
    <row r="1" spans="1:1" s="1" customFormat="1" x14ac:dyDescent="0.25">
      <c r="A1" s="1" t="s">
        <v>181</v>
      </c>
    </row>
    <row r="3" spans="1:44" x14ac:dyDescent="0.25">
      <c r="A3" s="6" t="s">
        <v>182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6" t="s">
        <v>34</v>
      </c>
      <c r="S3" s="6" t="s">
        <v>35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  <c r="AG3" s="6" t="s">
        <v>49</v>
      </c>
      <c r="AH3" s="6" t="s">
        <v>50</v>
      </c>
      <c r="AI3" s="6" t="s">
        <v>51</v>
      </c>
      <c r="AJ3" s="6" t="s">
        <v>52</v>
      </c>
      <c r="AK3" s="6" t="s">
        <v>53</v>
      </c>
      <c r="AL3" s="6" t="s">
        <v>54</v>
      </c>
      <c r="AM3" s="6" t="s">
        <v>55</v>
      </c>
      <c r="AN3" s="6" t="s">
        <v>56</v>
      </c>
      <c r="AO3" s="6" t="s">
        <v>57</v>
      </c>
      <c r="AP3" s="6" t="s">
        <v>58</v>
      </c>
      <c r="AQ3" s="6" t="s">
        <v>59</v>
      </c>
      <c r="AR3" s="6" t="s">
        <v>60</v>
      </c>
    </row>
    <row r="4" spans="1:44" x14ac:dyDescent="0.25">
      <c r="A4" t="s">
        <v>183</v>
      </c>
      <c r="B4" s="4">
        <f>'UnitEcon'!B43*'UnitEcon'!B22</f>
      </c>
      <c r="C4" s="4">
        <f>'UnitEcon'!C43*'UnitEcon'!C22</f>
      </c>
      <c r="D4" s="4">
        <f>'UnitEcon'!D43*'UnitEcon'!D22</f>
      </c>
      <c r="E4" s="4">
        <f>'UnitEcon'!E43*'UnitEcon'!E22</f>
      </c>
      <c r="F4" s="4">
        <f>'UnitEcon'!F43*'UnitEcon'!F22</f>
      </c>
      <c r="G4" s="4">
        <f>'UnitEcon'!G43*'UnitEcon'!G22</f>
      </c>
      <c r="H4" s="4">
        <f>'UnitEcon'!H43*'UnitEcon'!H22</f>
      </c>
      <c r="I4" s="4">
        <f>'UnitEcon'!I43*'UnitEcon'!I22</f>
      </c>
      <c r="J4" s="4">
        <f>'UnitEcon'!J43*'UnitEcon'!J22</f>
      </c>
      <c r="K4" s="4">
        <f>'UnitEcon'!K43*'UnitEcon'!K22</f>
      </c>
      <c r="L4" s="4">
        <f>'UnitEcon'!L43*'UnitEcon'!L22</f>
      </c>
      <c r="M4" s="4">
        <f>'UnitEcon'!M43*'UnitEcon'!M22</f>
      </c>
      <c r="N4" s="4">
        <f>'UnitEcon'!N43*'UnitEcon'!N22</f>
      </c>
      <c r="O4" s="4">
        <f>'UnitEcon'!O43*'UnitEcon'!O22</f>
      </c>
      <c r="P4" s="4">
        <f>'UnitEcon'!P43*'UnitEcon'!P22</f>
      </c>
      <c r="Q4" s="4">
        <f>'UnitEcon'!Q43*'UnitEcon'!Q22</f>
      </c>
      <c r="R4" s="4">
        <f>'UnitEcon'!R43*'UnitEcon'!R22</f>
      </c>
      <c r="S4" s="4">
        <f>'UnitEcon'!S43*'UnitEcon'!S22</f>
      </c>
      <c r="T4" s="4">
        <f>'UnitEcon'!T43*'UnitEcon'!T22</f>
      </c>
      <c r="U4" s="4">
        <f>'UnitEcon'!U43*'UnitEcon'!U22</f>
      </c>
      <c r="V4" s="4">
        <f>'UnitEcon'!V43*'UnitEcon'!V22</f>
      </c>
      <c r="W4" s="4">
        <f>'UnitEcon'!W43*'UnitEcon'!W22</f>
      </c>
      <c r="X4" s="4">
        <f>'UnitEcon'!X43*'UnitEcon'!X22</f>
      </c>
      <c r="Y4" s="4">
        <f>'UnitEcon'!Y43*'UnitEcon'!Y22</f>
      </c>
      <c r="Z4" s="4">
        <f>'UnitEcon'!Z43*'UnitEcon'!Z22</f>
      </c>
      <c r="AA4" s="4">
        <f>'UnitEcon'!AA43*'UnitEcon'!AA22</f>
      </c>
      <c r="AB4" s="4">
        <f>'UnitEcon'!AB43*'UnitEcon'!AB22</f>
      </c>
      <c r="AC4" s="4">
        <f>'UnitEcon'!AC43*'UnitEcon'!AC22</f>
      </c>
      <c r="AD4" s="4">
        <f>'UnitEcon'!AD43*'UnitEcon'!AD22</f>
      </c>
      <c r="AE4" s="4">
        <f>'UnitEcon'!AE43*'UnitEcon'!AE22</f>
      </c>
      <c r="AF4" s="4">
        <f>'UnitEcon'!AF43*'UnitEcon'!AF22</f>
      </c>
      <c r="AG4" s="4">
        <f>'UnitEcon'!AG43*'UnitEcon'!AG22</f>
      </c>
      <c r="AH4" s="4">
        <f>'UnitEcon'!AH43*'UnitEcon'!AH22</f>
      </c>
      <c r="AI4" s="4">
        <f>'UnitEcon'!AI43*'UnitEcon'!AI22</f>
      </c>
      <c r="AJ4" s="4">
        <f>'UnitEcon'!AJ43*'UnitEcon'!AJ22</f>
      </c>
      <c r="AK4" s="4">
        <f>'UnitEcon'!AK43*'UnitEcon'!AK22</f>
      </c>
      <c r="AL4" s="4">
        <f>'UnitEcon'!AL43*'UnitEcon'!AL22</f>
      </c>
      <c r="AM4" s="4">
        <f>'UnitEcon'!AM43*'UnitEcon'!AM22</f>
      </c>
      <c r="AN4" s="4">
        <f>'UnitEcon'!AN43*'UnitEcon'!AN22</f>
      </c>
      <c r="AO4" s="4">
        <f>'UnitEcon'!AO43*'UnitEcon'!AO22</f>
      </c>
      <c r="AP4" s="4">
        <f>'UnitEcon'!AP43*'UnitEcon'!AP22</f>
      </c>
      <c r="AQ4" s="4">
        <f>'UnitEcon'!AQ43*'UnitEcon'!AQ22</f>
      </c>
      <c r="AR4" s="4">
        <f>'UnitEcon'!AR43*'UnitEcon'!AR22</f>
      </c>
    </row>
    <row r="5" spans="1:44" x14ac:dyDescent="0.25">
      <c r="A5" t="s">
        <v>184</v>
      </c>
      <c r="B5" s="4">
        <f>'UnitEcon'!B42*('UnitEcon'!B33*'UnitEcon'!B34+'UnitEcon'!B35*'UnitEcon'!B36)</f>
      </c>
      <c r="C5" s="4">
        <f>'UnitEcon'!C42*('UnitEcon'!C33*'UnitEcon'!C34+'UnitEcon'!C35*'UnitEcon'!C36)</f>
      </c>
      <c r="D5" s="4">
        <f>'UnitEcon'!D42*('UnitEcon'!D33*'UnitEcon'!D34+'UnitEcon'!D35*'UnitEcon'!D36)</f>
      </c>
      <c r="E5" s="4">
        <f>'UnitEcon'!E42*('UnitEcon'!E33*'UnitEcon'!E34+'UnitEcon'!E35*'UnitEcon'!E36)</f>
      </c>
      <c r="F5" s="4">
        <f>'UnitEcon'!F42*('UnitEcon'!F33*'UnitEcon'!F34+'UnitEcon'!F35*'UnitEcon'!F36)</f>
      </c>
      <c r="G5" s="4">
        <f>'UnitEcon'!G42*('UnitEcon'!G33*'UnitEcon'!G34+'UnitEcon'!G35*'UnitEcon'!G36)</f>
      </c>
      <c r="H5" s="4">
        <f>'UnitEcon'!H42*('UnitEcon'!H33*'UnitEcon'!H34+'UnitEcon'!H35*'UnitEcon'!H36)</f>
      </c>
      <c r="I5" s="4">
        <f>'UnitEcon'!I42*('UnitEcon'!I33*'UnitEcon'!I34+'UnitEcon'!I35*'UnitEcon'!I36)</f>
      </c>
      <c r="J5" s="4">
        <f>'UnitEcon'!J42*('UnitEcon'!J33*'UnitEcon'!J34+'UnitEcon'!J35*'UnitEcon'!J36)</f>
      </c>
      <c r="K5" s="4">
        <f>'UnitEcon'!K42*('UnitEcon'!K33*'UnitEcon'!K34+'UnitEcon'!K35*'UnitEcon'!K36)</f>
      </c>
      <c r="L5" s="4">
        <f>'UnitEcon'!L42*('UnitEcon'!L33*'UnitEcon'!L34+'UnitEcon'!L35*'UnitEcon'!L36)</f>
      </c>
      <c r="M5" s="4">
        <f>'UnitEcon'!M42*('UnitEcon'!M33*'UnitEcon'!M34+'UnitEcon'!M35*'UnitEcon'!M36)</f>
      </c>
      <c r="N5" s="4">
        <f>'UnitEcon'!N42*('UnitEcon'!N33*'UnitEcon'!N34+'UnitEcon'!N35*'UnitEcon'!N36)</f>
      </c>
      <c r="O5" s="4">
        <f>'UnitEcon'!O42*('UnitEcon'!O33*'UnitEcon'!O34+'UnitEcon'!O35*'UnitEcon'!O36)</f>
      </c>
      <c r="P5" s="4">
        <f>'UnitEcon'!P42*('UnitEcon'!P33*'UnitEcon'!P34+'UnitEcon'!P35*'UnitEcon'!P36)</f>
      </c>
      <c r="Q5" s="4">
        <f>'UnitEcon'!Q42*('UnitEcon'!Q33*'UnitEcon'!Q34+'UnitEcon'!Q35*'UnitEcon'!Q36)</f>
      </c>
      <c r="R5" s="4">
        <f>'UnitEcon'!R42*('UnitEcon'!R33*'UnitEcon'!R34+'UnitEcon'!R35*'UnitEcon'!R36)</f>
      </c>
      <c r="S5" s="4">
        <f>'UnitEcon'!S42*('UnitEcon'!S33*'UnitEcon'!S34+'UnitEcon'!S35*'UnitEcon'!S36)</f>
      </c>
      <c r="T5" s="4">
        <f>'UnitEcon'!T42*('UnitEcon'!T33*'UnitEcon'!T34+'UnitEcon'!T35*'UnitEcon'!T36)</f>
      </c>
      <c r="U5" s="4">
        <f>'UnitEcon'!U42*('UnitEcon'!U33*'UnitEcon'!U34+'UnitEcon'!U35*'UnitEcon'!U36)</f>
      </c>
      <c r="V5" s="4">
        <f>'UnitEcon'!V42*('UnitEcon'!V33*'UnitEcon'!V34+'UnitEcon'!V35*'UnitEcon'!V36)</f>
      </c>
      <c r="W5" s="4">
        <f>'UnitEcon'!W42*('UnitEcon'!W33*'UnitEcon'!W34+'UnitEcon'!W35*'UnitEcon'!W36)</f>
      </c>
      <c r="X5" s="4">
        <f>'UnitEcon'!X42*('UnitEcon'!X33*'UnitEcon'!X34+'UnitEcon'!X35*'UnitEcon'!X36)</f>
      </c>
      <c r="Y5" s="4">
        <f>'UnitEcon'!Y42*('UnitEcon'!Y33*'UnitEcon'!Y34+'UnitEcon'!Y35*'UnitEcon'!Y36)</f>
      </c>
      <c r="Z5" s="4">
        <f>'UnitEcon'!Z42*('UnitEcon'!Z33*'UnitEcon'!Z34+'UnitEcon'!Z35*'UnitEcon'!Z36)</f>
      </c>
      <c r="AA5" s="4">
        <f>'UnitEcon'!AA42*('UnitEcon'!AA33*'UnitEcon'!AA34+'UnitEcon'!AA35*'UnitEcon'!AA36)</f>
      </c>
      <c r="AB5" s="4">
        <f>'UnitEcon'!AB42*('UnitEcon'!AB33*'UnitEcon'!AB34+'UnitEcon'!AB35*'UnitEcon'!AB36)</f>
      </c>
      <c r="AC5" s="4">
        <f>'UnitEcon'!AC42*('UnitEcon'!AC33*'UnitEcon'!AC34+'UnitEcon'!AC35*'UnitEcon'!AC36)</f>
      </c>
      <c r="AD5" s="4">
        <f>'UnitEcon'!AD42*('UnitEcon'!AD33*'UnitEcon'!AD34+'UnitEcon'!AD35*'UnitEcon'!AD36)</f>
      </c>
      <c r="AE5" s="4">
        <f>'UnitEcon'!AE42*('UnitEcon'!AE33*'UnitEcon'!AE34+'UnitEcon'!AE35*'UnitEcon'!AE36)</f>
      </c>
      <c r="AF5" s="4">
        <f>'UnitEcon'!AF42*('UnitEcon'!AF33*'UnitEcon'!AF34+'UnitEcon'!AF35*'UnitEcon'!AF36)</f>
      </c>
      <c r="AG5" s="4">
        <f>'UnitEcon'!AG42*('UnitEcon'!AG33*'UnitEcon'!AG34+'UnitEcon'!AG35*'UnitEcon'!AG36)</f>
      </c>
      <c r="AH5" s="4">
        <f>'UnitEcon'!AH42*('UnitEcon'!AH33*'UnitEcon'!AH34+'UnitEcon'!AH35*'UnitEcon'!AH36)</f>
      </c>
      <c r="AI5" s="4">
        <f>'UnitEcon'!AI42*('UnitEcon'!AI33*'UnitEcon'!AI34+'UnitEcon'!AI35*'UnitEcon'!AI36)</f>
      </c>
      <c r="AJ5" s="4">
        <f>'UnitEcon'!AJ42*('UnitEcon'!AJ33*'UnitEcon'!AJ34+'UnitEcon'!AJ35*'UnitEcon'!AJ36)</f>
      </c>
      <c r="AK5" s="4">
        <f>'UnitEcon'!AK42*('UnitEcon'!AK33*'UnitEcon'!AK34+'UnitEcon'!AK35*'UnitEcon'!AK36)</f>
      </c>
      <c r="AL5" s="4">
        <f>'UnitEcon'!AL42*('UnitEcon'!AL33*'UnitEcon'!AL34+'UnitEcon'!AL35*'UnitEcon'!AL36)</f>
      </c>
      <c r="AM5" s="4">
        <f>'UnitEcon'!AM42*('UnitEcon'!AM33*'UnitEcon'!AM34+'UnitEcon'!AM35*'UnitEcon'!AM36)</f>
      </c>
      <c r="AN5" s="4">
        <f>'UnitEcon'!AN42*('UnitEcon'!AN33*'UnitEcon'!AN34+'UnitEcon'!AN35*'UnitEcon'!AN36)</f>
      </c>
      <c r="AO5" s="4">
        <f>'UnitEcon'!AO42*('UnitEcon'!AO33*'UnitEcon'!AO34+'UnitEcon'!AO35*'UnitEcon'!AO36)</f>
      </c>
      <c r="AP5" s="4">
        <f>'UnitEcon'!AP42*('UnitEcon'!AP33*'UnitEcon'!AP34+'UnitEcon'!AP35*'UnitEcon'!AP36)</f>
      </c>
      <c r="AQ5" s="4">
        <f>'UnitEcon'!AQ42*('UnitEcon'!AQ33*'UnitEcon'!AQ34+'UnitEcon'!AQ35*'UnitEcon'!AQ36)</f>
      </c>
      <c r="AR5" s="4">
        <f>'UnitEcon'!AR42*('UnitEcon'!AR33*'UnitEcon'!AR34+'UnitEcon'!AR35*'UnitEcon'!AR36)</f>
      </c>
    </row>
    <row r="6" spans="1:44" x14ac:dyDescent="0.25">
      <c r="A6" t="s">
        <v>185</v>
      </c>
      <c r="B6" s="4">
        <f>'UnitEcon'!B42*'UnitEcon'!B25*'UnitEcon'!B29/1000</f>
      </c>
      <c r="C6" s="4">
        <f>'UnitEcon'!C42*'UnitEcon'!C25*'UnitEcon'!C29/1000</f>
      </c>
      <c r="D6" s="4">
        <f>'UnitEcon'!D42*'UnitEcon'!D25*'UnitEcon'!D29/1000</f>
      </c>
      <c r="E6" s="4">
        <f>'UnitEcon'!E42*'UnitEcon'!E25*'UnitEcon'!E29/1000</f>
      </c>
      <c r="F6" s="4">
        <f>'UnitEcon'!F42*'UnitEcon'!F25*'UnitEcon'!F29/1000</f>
      </c>
      <c r="G6" s="4">
        <f>'UnitEcon'!G42*'UnitEcon'!G25*'UnitEcon'!G29/1000</f>
      </c>
      <c r="H6" s="4">
        <f>'UnitEcon'!H42*'UnitEcon'!H25*'UnitEcon'!H29/1000</f>
      </c>
      <c r="I6" s="4">
        <f>'UnitEcon'!I42*'UnitEcon'!I25*'UnitEcon'!I29/1000</f>
      </c>
      <c r="J6" s="4">
        <f>'UnitEcon'!J42*'UnitEcon'!J25*'UnitEcon'!J29/1000</f>
      </c>
      <c r="K6" s="4">
        <f>'UnitEcon'!K42*'UnitEcon'!K25*'UnitEcon'!K29/1000</f>
      </c>
      <c r="L6" s="4">
        <f>'UnitEcon'!L42*'UnitEcon'!L25*'UnitEcon'!L29/1000</f>
      </c>
      <c r="M6" s="4">
        <f>'UnitEcon'!M42*'UnitEcon'!M25*'UnitEcon'!M29/1000</f>
      </c>
      <c r="N6" s="4">
        <f>'UnitEcon'!N42*'UnitEcon'!N25*'UnitEcon'!N29/1000</f>
      </c>
      <c r="O6" s="4">
        <f>'UnitEcon'!O42*'UnitEcon'!O25*'UnitEcon'!O29/1000</f>
      </c>
      <c r="P6" s="4">
        <f>'UnitEcon'!P42*'UnitEcon'!P25*'UnitEcon'!P29/1000</f>
      </c>
      <c r="Q6" s="4">
        <f>'UnitEcon'!Q42*'UnitEcon'!Q25*'UnitEcon'!Q29/1000</f>
      </c>
      <c r="R6" s="4">
        <f>'UnitEcon'!R42*'UnitEcon'!R25*'UnitEcon'!R29/1000</f>
      </c>
      <c r="S6" s="4">
        <f>'UnitEcon'!S42*'UnitEcon'!S25*'UnitEcon'!S29/1000</f>
      </c>
      <c r="T6" s="4">
        <f>'UnitEcon'!T42*'UnitEcon'!T25*'UnitEcon'!T29/1000</f>
      </c>
      <c r="U6" s="4">
        <f>'UnitEcon'!U42*'UnitEcon'!U25*'UnitEcon'!U29/1000</f>
      </c>
      <c r="V6" s="4">
        <f>'UnitEcon'!V42*'UnitEcon'!V25*'UnitEcon'!V29/1000</f>
      </c>
      <c r="W6" s="4">
        <f>'UnitEcon'!W42*'UnitEcon'!W25*'UnitEcon'!W29/1000</f>
      </c>
      <c r="X6" s="4">
        <f>'UnitEcon'!X42*'UnitEcon'!X25*'UnitEcon'!X29/1000</f>
      </c>
      <c r="Y6" s="4">
        <f>'UnitEcon'!Y42*'UnitEcon'!Y25*'UnitEcon'!Y29/1000</f>
      </c>
      <c r="Z6" s="4">
        <f>'UnitEcon'!Z42*'UnitEcon'!Z25*'UnitEcon'!Z29/1000</f>
      </c>
      <c r="AA6" s="4">
        <f>'UnitEcon'!AA42*'UnitEcon'!AA25*'UnitEcon'!AA29/1000</f>
      </c>
      <c r="AB6" s="4">
        <f>'UnitEcon'!AB42*'UnitEcon'!AB25*'UnitEcon'!AB29/1000</f>
      </c>
      <c r="AC6" s="4">
        <f>'UnitEcon'!AC42*'UnitEcon'!AC25*'UnitEcon'!AC29/1000</f>
      </c>
      <c r="AD6" s="4">
        <f>'UnitEcon'!AD42*'UnitEcon'!AD25*'UnitEcon'!AD29/1000</f>
      </c>
      <c r="AE6" s="4">
        <f>'UnitEcon'!AE42*'UnitEcon'!AE25*'UnitEcon'!AE29/1000</f>
      </c>
      <c r="AF6" s="4">
        <f>'UnitEcon'!AF42*'UnitEcon'!AF25*'UnitEcon'!AF29/1000</f>
      </c>
      <c r="AG6" s="4">
        <f>'UnitEcon'!AG42*'UnitEcon'!AG25*'UnitEcon'!AG29/1000</f>
      </c>
      <c r="AH6" s="4">
        <f>'UnitEcon'!AH42*'UnitEcon'!AH25*'UnitEcon'!AH29/1000</f>
      </c>
      <c r="AI6" s="4">
        <f>'UnitEcon'!AI42*'UnitEcon'!AI25*'UnitEcon'!AI29/1000</f>
      </c>
      <c r="AJ6" s="4">
        <f>'UnitEcon'!AJ42*'UnitEcon'!AJ25*'UnitEcon'!AJ29/1000</f>
      </c>
      <c r="AK6" s="4">
        <f>'UnitEcon'!AK42*'UnitEcon'!AK25*'UnitEcon'!AK29/1000</f>
      </c>
      <c r="AL6" s="4">
        <f>'UnitEcon'!AL42*'UnitEcon'!AL25*'UnitEcon'!AL29/1000</f>
      </c>
      <c r="AM6" s="4">
        <f>'UnitEcon'!AM42*'UnitEcon'!AM25*'UnitEcon'!AM29/1000</f>
      </c>
      <c r="AN6" s="4">
        <f>'UnitEcon'!AN42*'UnitEcon'!AN25*'UnitEcon'!AN29/1000</f>
      </c>
      <c r="AO6" s="4">
        <f>'UnitEcon'!AO42*'UnitEcon'!AO25*'UnitEcon'!AO29/1000</f>
      </c>
      <c r="AP6" s="4">
        <f>'UnitEcon'!AP42*'UnitEcon'!AP25*'UnitEcon'!AP29/1000</f>
      </c>
      <c r="AQ6" s="4">
        <f>'UnitEcon'!AQ42*'UnitEcon'!AQ25*'UnitEcon'!AQ29/1000</f>
      </c>
      <c r="AR6" s="4">
        <f>'UnitEcon'!AR42*'UnitEcon'!AR25*'UnitEcon'!AR29/1000</f>
      </c>
    </row>
    <row r="7" spans="1:44" x14ac:dyDescent="0.25">
      <c r="A7" t="s">
        <v>186</v>
      </c>
      <c r="B7" s="4">
        <f>'UnitEcon'!B42*'UnitEcon'!B26*'UnitEcon'!B30/1000</f>
      </c>
      <c r="C7" s="4">
        <f>'UnitEcon'!C42*'UnitEcon'!C26*'UnitEcon'!C30/1000</f>
      </c>
      <c r="D7" s="4">
        <f>'UnitEcon'!D42*'UnitEcon'!D26*'UnitEcon'!D30/1000</f>
      </c>
      <c r="E7" s="4">
        <f>'UnitEcon'!E42*'UnitEcon'!E26*'UnitEcon'!E30/1000</f>
      </c>
      <c r="F7" s="4">
        <f>'UnitEcon'!F42*'UnitEcon'!F26*'UnitEcon'!F30/1000</f>
      </c>
      <c r="G7" s="4">
        <f>'UnitEcon'!G42*'UnitEcon'!G26*'UnitEcon'!G30/1000</f>
      </c>
      <c r="H7" s="4">
        <f>'UnitEcon'!H42*'UnitEcon'!H26*'UnitEcon'!H30/1000</f>
      </c>
      <c r="I7" s="4">
        <f>'UnitEcon'!I42*'UnitEcon'!I26*'UnitEcon'!I30/1000</f>
      </c>
      <c r="J7" s="4">
        <f>'UnitEcon'!J42*'UnitEcon'!J26*'UnitEcon'!J30/1000</f>
      </c>
      <c r="K7" s="4">
        <f>'UnitEcon'!K42*'UnitEcon'!K26*'UnitEcon'!K30/1000</f>
      </c>
      <c r="L7" s="4">
        <f>'UnitEcon'!L42*'UnitEcon'!L26*'UnitEcon'!L30/1000</f>
      </c>
      <c r="M7" s="4">
        <f>'UnitEcon'!M42*'UnitEcon'!M26*'UnitEcon'!M30/1000</f>
      </c>
      <c r="N7" s="4">
        <f>'UnitEcon'!N42*'UnitEcon'!N26*'UnitEcon'!N30/1000</f>
      </c>
      <c r="O7" s="4">
        <f>'UnitEcon'!O42*'UnitEcon'!O26*'UnitEcon'!O30/1000</f>
      </c>
      <c r="P7" s="4">
        <f>'UnitEcon'!P42*'UnitEcon'!P26*'UnitEcon'!P30/1000</f>
      </c>
      <c r="Q7" s="4">
        <f>'UnitEcon'!Q42*'UnitEcon'!Q26*'UnitEcon'!Q30/1000</f>
      </c>
      <c r="R7" s="4">
        <f>'UnitEcon'!R42*'UnitEcon'!R26*'UnitEcon'!R30/1000</f>
      </c>
      <c r="S7" s="4">
        <f>'UnitEcon'!S42*'UnitEcon'!S26*'UnitEcon'!S30/1000</f>
      </c>
      <c r="T7" s="4">
        <f>'UnitEcon'!T42*'UnitEcon'!T26*'UnitEcon'!T30/1000</f>
      </c>
      <c r="U7" s="4">
        <f>'UnitEcon'!U42*'UnitEcon'!U26*'UnitEcon'!U30/1000</f>
      </c>
      <c r="V7" s="4">
        <f>'UnitEcon'!V42*'UnitEcon'!V26*'UnitEcon'!V30/1000</f>
      </c>
      <c r="W7" s="4">
        <f>'UnitEcon'!W42*'UnitEcon'!W26*'UnitEcon'!W30/1000</f>
      </c>
      <c r="X7" s="4">
        <f>'UnitEcon'!X42*'UnitEcon'!X26*'UnitEcon'!X30/1000</f>
      </c>
      <c r="Y7" s="4">
        <f>'UnitEcon'!Y42*'UnitEcon'!Y26*'UnitEcon'!Y30/1000</f>
      </c>
      <c r="Z7" s="4">
        <f>'UnitEcon'!Z42*'UnitEcon'!Z26*'UnitEcon'!Z30/1000</f>
      </c>
      <c r="AA7" s="4">
        <f>'UnitEcon'!AA42*'UnitEcon'!AA26*'UnitEcon'!AA30/1000</f>
      </c>
      <c r="AB7" s="4">
        <f>'UnitEcon'!AB42*'UnitEcon'!AB26*'UnitEcon'!AB30/1000</f>
      </c>
      <c r="AC7" s="4">
        <f>'UnitEcon'!AC42*'UnitEcon'!AC26*'UnitEcon'!AC30/1000</f>
      </c>
      <c r="AD7" s="4">
        <f>'UnitEcon'!AD42*'UnitEcon'!AD26*'UnitEcon'!AD30/1000</f>
      </c>
      <c r="AE7" s="4">
        <f>'UnitEcon'!AE42*'UnitEcon'!AE26*'UnitEcon'!AE30/1000</f>
      </c>
      <c r="AF7" s="4">
        <f>'UnitEcon'!AF42*'UnitEcon'!AF26*'UnitEcon'!AF30/1000</f>
      </c>
      <c r="AG7" s="4">
        <f>'UnitEcon'!AG42*'UnitEcon'!AG26*'UnitEcon'!AG30/1000</f>
      </c>
      <c r="AH7" s="4">
        <f>'UnitEcon'!AH42*'UnitEcon'!AH26*'UnitEcon'!AH30/1000</f>
      </c>
      <c r="AI7" s="4">
        <f>'UnitEcon'!AI42*'UnitEcon'!AI26*'UnitEcon'!AI30/1000</f>
      </c>
      <c r="AJ7" s="4">
        <f>'UnitEcon'!AJ42*'UnitEcon'!AJ26*'UnitEcon'!AJ30/1000</f>
      </c>
      <c r="AK7" s="4">
        <f>'UnitEcon'!AK42*'UnitEcon'!AK26*'UnitEcon'!AK30/1000</f>
      </c>
      <c r="AL7" s="4">
        <f>'UnitEcon'!AL42*'UnitEcon'!AL26*'UnitEcon'!AL30/1000</f>
      </c>
      <c r="AM7" s="4">
        <f>'UnitEcon'!AM42*'UnitEcon'!AM26*'UnitEcon'!AM30/1000</f>
      </c>
      <c r="AN7" s="4">
        <f>'UnitEcon'!AN42*'UnitEcon'!AN26*'UnitEcon'!AN30/1000</f>
      </c>
      <c r="AO7" s="4">
        <f>'UnitEcon'!AO42*'UnitEcon'!AO26*'UnitEcon'!AO30/1000</f>
      </c>
      <c r="AP7" s="4">
        <f>'UnitEcon'!AP42*'UnitEcon'!AP26*'UnitEcon'!AP30/1000</f>
      </c>
      <c r="AQ7" s="4">
        <f>'UnitEcon'!AQ42*'UnitEcon'!AQ26*'UnitEcon'!AQ30/1000</f>
      </c>
      <c r="AR7" s="4">
        <f>'UnitEcon'!AR42*'UnitEcon'!AR26*'UnitEcon'!AR30/1000</f>
      </c>
    </row>
    <row r="8" spans="1:44" x14ac:dyDescent="0.25">
      <c r="A8" t="s">
        <v>187</v>
      </c>
      <c r="B8" s="4">
        <f>'UnitEcon'!B42*'UnitEcon'!B27*'UnitEcon'!B31/1000</f>
      </c>
      <c r="C8" s="4">
        <f>'UnitEcon'!C42*'UnitEcon'!C27*'UnitEcon'!C31/1000</f>
      </c>
      <c r="D8" s="4">
        <f>'UnitEcon'!D42*'UnitEcon'!D27*'UnitEcon'!D31/1000</f>
      </c>
      <c r="E8" s="4">
        <f>'UnitEcon'!E42*'UnitEcon'!E27*'UnitEcon'!E31/1000</f>
      </c>
      <c r="F8" s="4">
        <f>'UnitEcon'!F42*'UnitEcon'!F27*'UnitEcon'!F31/1000</f>
      </c>
      <c r="G8" s="4">
        <f>'UnitEcon'!G42*'UnitEcon'!G27*'UnitEcon'!G31/1000</f>
      </c>
      <c r="H8" s="4">
        <f>'UnitEcon'!H42*'UnitEcon'!H27*'UnitEcon'!H31/1000</f>
      </c>
      <c r="I8" s="4">
        <f>'UnitEcon'!I42*'UnitEcon'!I27*'UnitEcon'!I31/1000</f>
      </c>
      <c r="J8" s="4">
        <f>'UnitEcon'!J42*'UnitEcon'!J27*'UnitEcon'!J31/1000</f>
      </c>
      <c r="K8" s="4">
        <f>'UnitEcon'!K42*'UnitEcon'!K27*'UnitEcon'!K31/1000</f>
      </c>
      <c r="L8" s="4">
        <f>'UnitEcon'!L42*'UnitEcon'!L27*'UnitEcon'!L31/1000</f>
      </c>
      <c r="M8" s="4">
        <f>'UnitEcon'!M42*'UnitEcon'!M27*'UnitEcon'!M31/1000</f>
      </c>
      <c r="N8" s="4">
        <f>'UnitEcon'!N42*'UnitEcon'!N27*'UnitEcon'!N31/1000</f>
      </c>
      <c r="O8" s="4">
        <f>'UnitEcon'!O42*'UnitEcon'!O27*'UnitEcon'!O31/1000</f>
      </c>
      <c r="P8" s="4">
        <f>'UnitEcon'!P42*'UnitEcon'!P27*'UnitEcon'!P31/1000</f>
      </c>
      <c r="Q8" s="4">
        <f>'UnitEcon'!Q42*'UnitEcon'!Q27*'UnitEcon'!Q31/1000</f>
      </c>
      <c r="R8" s="4">
        <f>'UnitEcon'!R42*'UnitEcon'!R27*'UnitEcon'!R31/1000</f>
      </c>
      <c r="S8" s="4">
        <f>'UnitEcon'!S42*'UnitEcon'!S27*'UnitEcon'!S31/1000</f>
      </c>
      <c r="T8" s="4">
        <f>'UnitEcon'!T42*'UnitEcon'!T27*'UnitEcon'!T31/1000</f>
      </c>
      <c r="U8" s="4">
        <f>'UnitEcon'!U42*'UnitEcon'!U27*'UnitEcon'!U31/1000</f>
      </c>
      <c r="V8" s="4">
        <f>'UnitEcon'!V42*'UnitEcon'!V27*'UnitEcon'!V31/1000</f>
      </c>
      <c r="W8" s="4">
        <f>'UnitEcon'!W42*'UnitEcon'!W27*'UnitEcon'!W31/1000</f>
      </c>
      <c r="X8" s="4">
        <f>'UnitEcon'!X42*'UnitEcon'!X27*'UnitEcon'!X31/1000</f>
      </c>
      <c r="Y8" s="4">
        <f>'UnitEcon'!Y42*'UnitEcon'!Y27*'UnitEcon'!Y31/1000</f>
      </c>
      <c r="Z8" s="4">
        <f>'UnitEcon'!Z42*'UnitEcon'!Z27*'UnitEcon'!Z31/1000</f>
      </c>
      <c r="AA8" s="4">
        <f>'UnitEcon'!AA42*'UnitEcon'!AA27*'UnitEcon'!AA31/1000</f>
      </c>
      <c r="AB8" s="4">
        <f>'UnitEcon'!AB42*'UnitEcon'!AB27*'UnitEcon'!AB31/1000</f>
      </c>
      <c r="AC8" s="4">
        <f>'UnitEcon'!AC42*'UnitEcon'!AC27*'UnitEcon'!AC31/1000</f>
      </c>
      <c r="AD8" s="4">
        <f>'UnitEcon'!AD42*'UnitEcon'!AD27*'UnitEcon'!AD31/1000</f>
      </c>
      <c r="AE8" s="4">
        <f>'UnitEcon'!AE42*'UnitEcon'!AE27*'UnitEcon'!AE31/1000</f>
      </c>
      <c r="AF8" s="4">
        <f>'UnitEcon'!AF42*'UnitEcon'!AF27*'UnitEcon'!AF31/1000</f>
      </c>
      <c r="AG8" s="4">
        <f>'UnitEcon'!AG42*'UnitEcon'!AG27*'UnitEcon'!AG31/1000</f>
      </c>
      <c r="AH8" s="4">
        <f>'UnitEcon'!AH42*'UnitEcon'!AH27*'UnitEcon'!AH31/1000</f>
      </c>
      <c r="AI8" s="4">
        <f>'UnitEcon'!AI42*'UnitEcon'!AI27*'UnitEcon'!AI31/1000</f>
      </c>
      <c r="AJ8" s="4">
        <f>'UnitEcon'!AJ42*'UnitEcon'!AJ27*'UnitEcon'!AJ31/1000</f>
      </c>
      <c r="AK8" s="4">
        <f>'UnitEcon'!AK42*'UnitEcon'!AK27*'UnitEcon'!AK31/1000</f>
      </c>
      <c r="AL8" s="4">
        <f>'UnitEcon'!AL42*'UnitEcon'!AL27*'UnitEcon'!AL31/1000</f>
      </c>
      <c r="AM8" s="4">
        <f>'UnitEcon'!AM42*'UnitEcon'!AM27*'UnitEcon'!AM31/1000</f>
      </c>
      <c r="AN8" s="4">
        <f>'UnitEcon'!AN42*'UnitEcon'!AN27*'UnitEcon'!AN31/1000</f>
      </c>
      <c r="AO8" s="4">
        <f>'UnitEcon'!AO42*'UnitEcon'!AO27*'UnitEcon'!AO31/1000</f>
      </c>
      <c r="AP8" s="4">
        <f>'UnitEcon'!AP42*'UnitEcon'!AP27*'UnitEcon'!AP31/1000</f>
      </c>
      <c r="AQ8" s="4">
        <f>'UnitEcon'!AQ42*'UnitEcon'!AQ27*'UnitEcon'!AQ31/1000</f>
      </c>
      <c r="AR8" s="4">
        <f>'UnitEcon'!AR42*'UnitEcon'!AR27*'UnitEcon'!AR31/1000</f>
      </c>
    </row>
    <row r="9" spans="1:44" x14ac:dyDescent="0.25">
      <c r="A9" t="s">
        <v>188</v>
      </c>
      <c r="B9" s="4">
        <f>'UnitEcon'!B42*'UnitEcon'!B28*'UnitEcon'!B32/1000</f>
      </c>
      <c r="C9" s="4">
        <f>'UnitEcon'!C42*'UnitEcon'!C28*'UnitEcon'!C32/1000</f>
      </c>
      <c r="D9" s="4">
        <f>'UnitEcon'!D42*'UnitEcon'!D28*'UnitEcon'!D32/1000</f>
      </c>
      <c r="E9" s="4">
        <f>'UnitEcon'!E42*'UnitEcon'!E28*'UnitEcon'!E32/1000</f>
      </c>
      <c r="F9" s="4">
        <f>'UnitEcon'!F42*'UnitEcon'!F28*'UnitEcon'!F32/1000</f>
      </c>
      <c r="G9" s="4">
        <f>'UnitEcon'!G42*'UnitEcon'!G28*'UnitEcon'!G32/1000</f>
      </c>
      <c r="H9" s="4">
        <f>'UnitEcon'!H42*'UnitEcon'!H28*'UnitEcon'!H32/1000</f>
      </c>
      <c r="I9" s="4">
        <f>'UnitEcon'!I42*'UnitEcon'!I28*'UnitEcon'!I32/1000</f>
      </c>
      <c r="J9" s="4">
        <f>'UnitEcon'!J42*'UnitEcon'!J28*'UnitEcon'!J32/1000</f>
      </c>
      <c r="K9" s="4">
        <f>'UnitEcon'!K42*'UnitEcon'!K28*'UnitEcon'!K32/1000</f>
      </c>
      <c r="L9" s="4">
        <f>'UnitEcon'!L42*'UnitEcon'!L28*'UnitEcon'!L32/1000</f>
      </c>
      <c r="M9" s="4">
        <f>'UnitEcon'!M42*'UnitEcon'!M28*'UnitEcon'!M32/1000</f>
      </c>
      <c r="N9" s="4">
        <f>'UnitEcon'!N42*'UnitEcon'!N28*'UnitEcon'!N32/1000</f>
      </c>
      <c r="O9" s="4">
        <f>'UnitEcon'!O42*'UnitEcon'!O28*'UnitEcon'!O32/1000</f>
      </c>
      <c r="P9" s="4">
        <f>'UnitEcon'!P42*'UnitEcon'!P28*'UnitEcon'!P32/1000</f>
      </c>
      <c r="Q9" s="4">
        <f>'UnitEcon'!Q42*'UnitEcon'!Q28*'UnitEcon'!Q32/1000</f>
      </c>
      <c r="R9" s="4">
        <f>'UnitEcon'!R42*'UnitEcon'!R28*'UnitEcon'!R32/1000</f>
      </c>
      <c r="S9" s="4">
        <f>'UnitEcon'!S42*'UnitEcon'!S28*'UnitEcon'!S32/1000</f>
      </c>
      <c r="T9" s="4">
        <f>'UnitEcon'!T42*'UnitEcon'!T28*'UnitEcon'!T32/1000</f>
      </c>
      <c r="U9" s="4">
        <f>'UnitEcon'!U42*'UnitEcon'!U28*'UnitEcon'!U32/1000</f>
      </c>
      <c r="V9" s="4">
        <f>'UnitEcon'!V42*'UnitEcon'!V28*'UnitEcon'!V32/1000</f>
      </c>
      <c r="W9" s="4">
        <f>'UnitEcon'!W42*'UnitEcon'!W28*'UnitEcon'!W32/1000</f>
      </c>
      <c r="X9" s="4">
        <f>'UnitEcon'!X42*'UnitEcon'!X28*'UnitEcon'!X32/1000</f>
      </c>
      <c r="Y9" s="4">
        <f>'UnitEcon'!Y42*'UnitEcon'!Y28*'UnitEcon'!Y32/1000</f>
      </c>
      <c r="Z9" s="4">
        <f>'UnitEcon'!Z42*'UnitEcon'!Z28*'UnitEcon'!Z32/1000</f>
      </c>
      <c r="AA9" s="4">
        <f>'UnitEcon'!AA42*'UnitEcon'!AA28*'UnitEcon'!AA32/1000</f>
      </c>
      <c r="AB9" s="4">
        <f>'UnitEcon'!AB42*'UnitEcon'!AB28*'UnitEcon'!AB32/1000</f>
      </c>
      <c r="AC9" s="4">
        <f>'UnitEcon'!AC42*'UnitEcon'!AC28*'UnitEcon'!AC32/1000</f>
      </c>
      <c r="AD9" s="4">
        <f>'UnitEcon'!AD42*'UnitEcon'!AD28*'UnitEcon'!AD32/1000</f>
      </c>
      <c r="AE9" s="4">
        <f>'UnitEcon'!AE42*'UnitEcon'!AE28*'UnitEcon'!AE32/1000</f>
      </c>
      <c r="AF9" s="4">
        <f>'UnitEcon'!AF42*'UnitEcon'!AF28*'UnitEcon'!AF32/1000</f>
      </c>
      <c r="AG9" s="4">
        <f>'UnitEcon'!AG42*'UnitEcon'!AG28*'UnitEcon'!AG32/1000</f>
      </c>
      <c r="AH9" s="4">
        <f>'UnitEcon'!AH42*'UnitEcon'!AH28*'UnitEcon'!AH32/1000</f>
      </c>
      <c r="AI9" s="4">
        <f>'UnitEcon'!AI42*'UnitEcon'!AI28*'UnitEcon'!AI32/1000</f>
      </c>
      <c r="AJ9" s="4">
        <f>'UnitEcon'!AJ42*'UnitEcon'!AJ28*'UnitEcon'!AJ32/1000</f>
      </c>
      <c r="AK9" s="4">
        <f>'UnitEcon'!AK42*'UnitEcon'!AK28*'UnitEcon'!AK32/1000</f>
      </c>
      <c r="AL9" s="4">
        <f>'UnitEcon'!AL42*'UnitEcon'!AL28*'UnitEcon'!AL32/1000</f>
      </c>
      <c r="AM9" s="4">
        <f>'UnitEcon'!AM42*'UnitEcon'!AM28*'UnitEcon'!AM32/1000</f>
      </c>
      <c r="AN9" s="4">
        <f>'UnitEcon'!AN42*'UnitEcon'!AN28*'UnitEcon'!AN32/1000</f>
      </c>
      <c r="AO9" s="4">
        <f>'UnitEcon'!AO42*'UnitEcon'!AO28*'UnitEcon'!AO32/1000</f>
      </c>
      <c r="AP9" s="4">
        <f>'UnitEcon'!AP42*'UnitEcon'!AP28*'UnitEcon'!AP32/1000</f>
      </c>
      <c r="AQ9" s="4">
        <f>'UnitEcon'!AQ42*'UnitEcon'!AQ28*'UnitEcon'!AQ32/1000</f>
      </c>
      <c r="AR9" s="4">
        <f>'UnitEcon'!AR42*'UnitEcon'!AR28*'UnitEcon'!AR32/1000</f>
      </c>
    </row>
    <row r="10" spans="1:44" x14ac:dyDescent="0.25">
      <c r="A10" t="s">
        <v>189</v>
      </c>
      <c r="B10" s="4">
        <f>'UnitEcon'!B37*'CAPEX'!B40*'CAPEX'!B4*'UnitEcon'!B41/12</f>
      </c>
      <c r="C10" s="4">
        <f>'UnitEcon'!C37*'CAPEX'!C40*'CAPEX'!C4*'UnitEcon'!C41/12</f>
      </c>
      <c r="D10" s="4">
        <f>'UnitEcon'!D37*'CAPEX'!D40*'CAPEX'!D4*'UnitEcon'!D41/12</f>
      </c>
      <c r="E10" s="4">
        <f>'UnitEcon'!E37*'CAPEX'!E40*'CAPEX'!E4*'UnitEcon'!E41/12</f>
      </c>
      <c r="F10" s="4">
        <f>'UnitEcon'!F37*'CAPEX'!F40*'CAPEX'!F4*'UnitEcon'!F41/12</f>
      </c>
      <c r="G10" s="4">
        <f>'UnitEcon'!G37*'CAPEX'!G40*'CAPEX'!G4*'UnitEcon'!G41/12</f>
      </c>
      <c r="H10" s="4">
        <f>'UnitEcon'!H37*'CAPEX'!H40*'CAPEX'!H4*'UnitEcon'!H41/12</f>
      </c>
      <c r="I10" s="4">
        <f>'UnitEcon'!I37*'CAPEX'!I40*'CAPEX'!I4*'UnitEcon'!I41/12</f>
      </c>
      <c r="J10" s="4">
        <f>'UnitEcon'!J37*'CAPEX'!J40*'CAPEX'!J4*'UnitEcon'!J41/12</f>
      </c>
      <c r="K10" s="4">
        <f>'UnitEcon'!K37*'CAPEX'!K40*'CAPEX'!K4*'UnitEcon'!K41/12</f>
      </c>
      <c r="L10" s="4">
        <f>'UnitEcon'!L37*'CAPEX'!L40*'CAPEX'!L4*'UnitEcon'!L41/12</f>
      </c>
      <c r="M10" s="4">
        <f>'UnitEcon'!M37*'CAPEX'!M40*'CAPEX'!M4*'UnitEcon'!M41/12</f>
      </c>
      <c r="N10" s="4">
        <f>'UnitEcon'!N37*'CAPEX'!N40*'CAPEX'!N4*'UnitEcon'!N41/12</f>
      </c>
      <c r="O10" s="4">
        <f>'UnitEcon'!O37*'CAPEX'!O40*'CAPEX'!O4*'UnitEcon'!O41/12</f>
      </c>
      <c r="P10" s="4">
        <f>'UnitEcon'!P37*'CAPEX'!P40*'CAPEX'!P4*'UnitEcon'!P41/12</f>
      </c>
      <c r="Q10" s="4">
        <f>'UnitEcon'!Q37*'CAPEX'!Q40*'CAPEX'!Q4*'UnitEcon'!Q41/12</f>
      </c>
      <c r="R10" s="4">
        <f>'UnitEcon'!R37*'CAPEX'!R40*'CAPEX'!R4*'UnitEcon'!R41/12</f>
      </c>
      <c r="S10" s="4">
        <f>'UnitEcon'!S37*'CAPEX'!S40*'CAPEX'!S4*'UnitEcon'!S41/12</f>
      </c>
      <c r="T10" s="4">
        <f>'UnitEcon'!T37*'CAPEX'!T40*'CAPEX'!T4*'UnitEcon'!T41/12</f>
      </c>
      <c r="U10" s="4">
        <f>'UnitEcon'!U37*'CAPEX'!U40*'CAPEX'!U4*'UnitEcon'!U41/12</f>
      </c>
      <c r="V10" s="4">
        <f>'UnitEcon'!V37*'CAPEX'!V40*'CAPEX'!V4*'UnitEcon'!V41/12</f>
      </c>
      <c r="W10" s="4">
        <f>'UnitEcon'!W37*'CAPEX'!W40*'CAPEX'!W4*'UnitEcon'!W41/12</f>
      </c>
      <c r="X10" s="4">
        <f>'UnitEcon'!X37*'CAPEX'!X40*'CAPEX'!X4*'UnitEcon'!X41/12</f>
      </c>
      <c r="Y10" s="4">
        <f>'UnitEcon'!Y37*'CAPEX'!Y40*'CAPEX'!Y4*'UnitEcon'!Y41/12</f>
      </c>
      <c r="Z10" s="4">
        <f>'UnitEcon'!Z37*'CAPEX'!Z40*'CAPEX'!Z4*'UnitEcon'!Z41/12</f>
      </c>
      <c r="AA10" s="4">
        <f>'UnitEcon'!AA37*'CAPEX'!AA40*'CAPEX'!AA4*'UnitEcon'!AA41/12</f>
      </c>
      <c r="AB10" s="4">
        <f>'UnitEcon'!AB37*'CAPEX'!AB40*'CAPEX'!AB4*'UnitEcon'!AB41/12</f>
      </c>
      <c r="AC10" s="4">
        <f>'UnitEcon'!AC37*'CAPEX'!AC40*'CAPEX'!AC4*'UnitEcon'!AC41/12</f>
      </c>
      <c r="AD10" s="4">
        <f>'UnitEcon'!AD37*'CAPEX'!AD40*'CAPEX'!AD4*'UnitEcon'!AD41/12</f>
      </c>
      <c r="AE10" s="4">
        <f>'UnitEcon'!AE37*'CAPEX'!AE40*'CAPEX'!AE4*'UnitEcon'!AE41/12</f>
      </c>
      <c r="AF10" s="4">
        <f>'UnitEcon'!AF37*'CAPEX'!AF40*'CAPEX'!AF4*'UnitEcon'!AF41/12</f>
      </c>
      <c r="AG10" s="4">
        <f>'UnitEcon'!AG37*'CAPEX'!AG40*'CAPEX'!AG4*'UnitEcon'!AG41/12</f>
      </c>
      <c r="AH10" s="4">
        <f>'UnitEcon'!AH37*'CAPEX'!AH40*'CAPEX'!AH4*'UnitEcon'!AH41/12</f>
      </c>
      <c r="AI10" s="4">
        <f>'UnitEcon'!AI37*'CAPEX'!AI40*'CAPEX'!AI4*'UnitEcon'!AI41/12</f>
      </c>
      <c r="AJ10" s="4">
        <f>'UnitEcon'!AJ37*'CAPEX'!AJ40*'CAPEX'!AJ4*'UnitEcon'!AJ41/12</f>
      </c>
      <c r="AK10" s="4">
        <f>'UnitEcon'!AK37*'CAPEX'!AK40*'CAPEX'!AK4*'UnitEcon'!AK41/12</f>
      </c>
      <c r="AL10" s="4">
        <f>'UnitEcon'!AL37*'CAPEX'!AL40*'CAPEX'!AL4*'UnitEcon'!AL41/12</f>
      </c>
      <c r="AM10" s="4">
        <f>'UnitEcon'!AM37*'CAPEX'!AM40*'CAPEX'!AM4*'UnitEcon'!AM41/12</f>
      </c>
      <c r="AN10" s="4">
        <f>'UnitEcon'!AN37*'CAPEX'!AN40*'CAPEX'!AN4*'UnitEcon'!AN41/12</f>
      </c>
      <c r="AO10" s="4">
        <f>'UnitEcon'!AO37*'CAPEX'!AO40*'CAPEX'!AO4*'UnitEcon'!AO41/12</f>
      </c>
      <c r="AP10" s="4">
        <f>'UnitEcon'!AP37*'CAPEX'!AP40*'CAPEX'!AP4*'UnitEcon'!AP41/12</f>
      </c>
      <c r="AQ10" s="4">
        <f>'UnitEcon'!AQ37*'CAPEX'!AQ40*'CAPEX'!AQ4*'UnitEcon'!AQ41/12</f>
      </c>
      <c r="AR10" s="4">
        <f>'UnitEcon'!AR37*'CAPEX'!AR40*'CAPEX'!AR4*'UnitEcon'!AR41/12</f>
      </c>
    </row>
    <row r="11" spans="1:44" x14ac:dyDescent="0.25">
      <c r="A11" s="10" t="s">
        <v>190</v>
      </c>
      <c r="B11" s="11">
        <f>B5+B6+B7+B8+B9+B10</f>
      </c>
      <c r="C11" s="11">
        <f>C5+C6+C7+C8+C9+C10</f>
      </c>
      <c r="D11" s="11">
        <f>D5+D6+D7+D8+D9+D10</f>
      </c>
      <c r="E11" s="11">
        <f>E5+E6+E7+E8+E9+E10</f>
      </c>
      <c r="F11" s="11">
        <f>F5+F6+F7+F8+F9+F10</f>
      </c>
      <c r="G11" s="11">
        <f>G5+G6+G7+G8+G9+G10</f>
      </c>
      <c r="H11" s="11">
        <f>H5+H6+H7+H8+H9+H10</f>
      </c>
      <c r="I11" s="11">
        <f>I5+I6+I7+I8+I9+I10</f>
      </c>
      <c r="J11" s="11">
        <f>J5+J6+J7+J8+J9+J10</f>
      </c>
      <c r="K11" s="11">
        <f>K5+K6+K7+K8+K9+K10</f>
      </c>
      <c r="L11" s="11">
        <f>L5+L6+L7+L8+L9+L10</f>
      </c>
      <c r="M11" s="11">
        <f>M5+M6+M7+M8+M9+M10</f>
      </c>
      <c r="N11" s="11">
        <f>N5+N6+N7+N8+N9+N10</f>
      </c>
      <c r="O11" s="11">
        <f>O5+O6+O7+O8+O9+O10</f>
      </c>
      <c r="P11" s="11">
        <f>P5+P6+P7+P8+P9+P10</f>
      </c>
      <c r="Q11" s="11">
        <f>Q5+Q6+Q7+Q8+Q9+Q10</f>
      </c>
      <c r="R11" s="11">
        <f>R5+R6+R7+R8+R9+R10</f>
      </c>
      <c r="S11" s="11">
        <f>S5+S6+S7+S8+S9+S10</f>
      </c>
      <c r="T11" s="11">
        <f>T5+T6+T7+T8+T9+T10</f>
      </c>
      <c r="U11" s="11">
        <f>U5+U6+U7+U8+U9+U10</f>
      </c>
      <c r="V11" s="11">
        <f>V5+V6+V7+V8+V9+V10</f>
      </c>
      <c r="W11" s="11">
        <f>W5+W6+W7+W8+W9+W10</f>
      </c>
      <c r="X11" s="11">
        <f>X5+X6+X7+X8+X9+X10</f>
      </c>
      <c r="Y11" s="11">
        <f>Y5+Y6+Y7+Y8+Y9+Y10</f>
      </c>
      <c r="Z11" s="11">
        <f>Z5+Z6+Z7+Z8+Z9+Z10</f>
      </c>
      <c r="AA11" s="11">
        <f>AA5+AA6+AA7+AA8+AA9+AA10</f>
      </c>
      <c r="AB11" s="11">
        <f>AB5+AB6+AB7+AB8+AB9+AB10</f>
      </c>
      <c r="AC11" s="11">
        <f>AC5+AC6+AC7+AC8+AC9+AC10</f>
      </c>
      <c r="AD11" s="11">
        <f>AD5+AD6+AD7+AD8+AD9+AD10</f>
      </c>
      <c r="AE11" s="11">
        <f>AE5+AE6+AE7+AE8+AE9+AE10</f>
      </c>
      <c r="AF11" s="11">
        <f>AF5+AF6+AF7+AF8+AF9+AF10</f>
      </c>
      <c r="AG11" s="11">
        <f>AG5+AG6+AG7+AG8+AG9+AG10</f>
      </c>
      <c r="AH11" s="11">
        <f>AH5+AH6+AH7+AH8+AH9+AH10</f>
      </c>
      <c r="AI11" s="11">
        <f>AI5+AI6+AI7+AI8+AI9+AI10</f>
      </c>
      <c r="AJ11" s="11">
        <f>AJ5+AJ6+AJ7+AJ8+AJ9+AJ10</f>
      </c>
      <c r="AK11" s="11">
        <f>AK5+AK6+AK7+AK8+AK9+AK10</f>
      </c>
      <c r="AL11" s="11">
        <f>AL5+AL6+AL7+AL8+AL9+AL10</f>
      </c>
      <c r="AM11" s="11">
        <f>AM5+AM6+AM7+AM8+AM9+AM10</f>
      </c>
      <c r="AN11" s="11">
        <f>AN5+AN6+AN7+AN8+AN9+AN10</f>
      </c>
      <c r="AO11" s="11">
        <f>AO5+AO6+AO7+AO8+AO9+AO10</f>
      </c>
      <c r="AP11" s="11">
        <f>AP5+AP6+AP7+AP8+AP9+AP10</f>
      </c>
      <c r="AQ11" s="11">
        <f>AQ5+AQ6+AQ7+AQ8+AQ9+AQ10</f>
      </c>
      <c r="AR11" s="11">
        <f>AR5+AR6+AR7+AR8+AR9+AR10</f>
      </c>
    </row>
    <row r="12" spans="1:44" x14ac:dyDescent="0.25">
      <c r="A12" s="10" t="s">
        <v>191</v>
      </c>
      <c r="B12" s="11">
        <f>B4-B11</f>
      </c>
      <c r="C12" s="11">
        <f>C4-C11</f>
      </c>
      <c r="D12" s="11">
        <f>D4-D11</f>
      </c>
      <c r="E12" s="11">
        <f>E4-E11</f>
      </c>
      <c r="F12" s="11">
        <f>F4-F11</f>
      </c>
      <c r="G12" s="11">
        <f>G4-G11</f>
      </c>
      <c r="H12" s="11">
        <f>H4-H11</f>
      </c>
      <c r="I12" s="11">
        <f>I4-I11</f>
      </c>
      <c r="J12" s="11">
        <f>J4-J11</f>
      </c>
      <c r="K12" s="11">
        <f>K4-K11</f>
      </c>
      <c r="L12" s="11">
        <f>L4-L11</f>
      </c>
      <c r="M12" s="11">
        <f>M4-M11</f>
      </c>
      <c r="N12" s="11">
        <f>N4-N11</f>
      </c>
      <c r="O12" s="11">
        <f>O4-O11</f>
      </c>
      <c r="P12" s="11">
        <f>P4-P11</f>
      </c>
      <c r="Q12" s="11">
        <f>Q4-Q11</f>
      </c>
      <c r="R12" s="11">
        <f>R4-R11</f>
      </c>
      <c r="S12" s="11">
        <f>S4-S11</f>
      </c>
      <c r="T12" s="11">
        <f>T4-T11</f>
      </c>
      <c r="U12" s="11">
        <f>U4-U11</f>
      </c>
      <c r="V12" s="11">
        <f>V4-V11</f>
      </c>
      <c r="W12" s="11">
        <f>W4-W11</f>
      </c>
      <c r="X12" s="11">
        <f>X4-X11</f>
      </c>
      <c r="Y12" s="11">
        <f>Y4-Y11</f>
      </c>
      <c r="Z12" s="11">
        <f>Z4-Z11</f>
      </c>
      <c r="AA12" s="11">
        <f>AA4-AA11</f>
      </c>
      <c r="AB12" s="11">
        <f>AB4-AB11</f>
      </c>
      <c r="AC12" s="11">
        <f>AC4-AC11</f>
      </c>
      <c r="AD12" s="11">
        <f>AD4-AD11</f>
      </c>
      <c r="AE12" s="11">
        <f>AE4-AE11</f>
      </c>
      <c r="AF12" s="11">
        <f>AF4-AF11</f>
      </c>
      <c r="AG12" s="11">
        <f>AG4-AG11</f>
      </c>
      <c r="AH12" s="11">
        <f>AH4-AH11</f>
      </c>
      <c r="AI12" s="11">
        <f>AI4-AI11</f>
      </c>
      <c r="AJ12" s="11">
        <f>AJ4-AJ11</f>
      </c>
      <c r="AK12" s="11">
        <f>AK4-AK11</f>
      </c>
      <c r="AL12" s="11">
        <f>AL4-AL11</f>
      </c>
      <c r="AM12" s="11">
        <f>AM4-AM11</f>
      </c>
      <c r="AN12" s="11">
        <f>AN4-AN11</f>
      </c>
      <c r="AO12" s="11">
        <f>AO4-AO11</f>
      </c>
      <c r="AP12" s="11">
        <f>AP4-AP11</f>
      </c>
      <c r="AQ12" s="11">
        <f>AQ4-AQ11</f>
      </c>
      <c r="AR12" s="11">
        <f>AR4-AR11</f>
      </c>
    </row>
    <row r="13" spans="1:44" x14ac:dyDescent="0.25">
      <c r="A13" t="s">
        <v>192</v>
      </c>
      <c r="B13" s="4">
        <f>'OPEX'!B28</f>
      </c>
      <c r="C13" s="4">
        <f>'OPEX'!C28</f>
      </c>
      <c r="D13" s="4">
        <f>'OPEX'!D28</f>
      </c>
      <c r="E13" s="4">
        <f>'OPEX'!E28</f>
      </c>
      <c r="F13" s="4">
        <f>'OPEX'!F28</f>
      </c>
      <c r="G13" s="4">
        <f>'OPEX'!G28</f>
      </c>
      <c r="H13" s="4">
        <f>'OPEX'!H28</f>
      </c>
      <c r="I13" s="4">
        <f>'OPEX'!I28</f>
      </c>
      <c r="J13" s="4">
        <f>'OPEX'!J28</f>
      </c>
      <c r="K13" s="4">
        <f>'OPEX'!K28</f>
      </c>
      <c r="L13" s="4">
        <f>'OPEX'!L28</f>
      </c>
      <c r="M13" s="4">
        <f>'OPEX'!M28</f>
      </c>
      <c r="N13" s="4">
        <f>'OPEX'!N28</f>
      </c>
      <c r="O13" s="4">
        <f>'OPEX'!O28</f>
      </c>
      <c r="P13" s="4">
        <f>'OPEX'!P28</f>
      </c>
      <c r="Q13" s="4">
        <f>'OPEX'!Q28</f>
      </c>
      <c r="R13" s="4">
        <f>'OPEX'!R28</f>
      </c>
      <c r="S13" s="4">
        <f>'OPEX'!S28</f>
      </c>
      <c r="T13" s="4">
        <f>'OPEX'!T28</f>
      </c>
      <c r="U13" s="4">
        <f>'OPEX'!U28</f>
      </c>
      <c r="V13" s="4">
        <f>'OPEX'!V28</f>
      </c>
      <c r="W13" s="4">
        <f>'OPEX'!W28</f>
      </c>
      <c r="X13" s="4">
        <f>'OPEX'!X28</f>
      </c>
      <c r="Y13" s="4">
        <f>'OPEX'!Y28</f>
      </c>
      <c r="Z13" s="4">
        <f>'OPEX'!Z28</f>
      </c>
      <c r="AA13" s="4">
        <f>'OPEX'!AA28</f>
      </c>
      <c r="AB13" s="4">
        <f>'OPEX'!AB28</f>
      </c>
      <c r="AC13" s="4">
        <f>'OPEX'!AC28</f>
      </c>
      <c r="AD13" s="4">
        <f>'OPEX'!AD28</f>
      </c>
      <c r="AE13" s="4">
        <f>'OPEX'!AE28</f>
      </c>
      <c r="AF13" s="4">
        <f>'OPEX'!AF28</f>
      </c>
      <c r="AG13" s="4">
        <f>'OPEX'!AG28</f>
      </c>
      <c r="AH13" s="4">
        <f>'OPEX'!AH28</f>
      </c>
      <c r="AI13" s="4">
        <f>'OPEX'!AI28</f>
      </c>
      <c r="AJ13" s="4">
        <f>'OPEX'!AJ28</f>
      </c>
      <c r="AK13" s="4">
        <f>'OPEX'!AK28</f>
      </c>
      <c r="AL13" s="4">
        <f>'OPEX'!AL28</f>
      </c>
      <c r="AM13" s="4">
        <f>'OPEX'!AM28</f>
      </c>
      <c r="AN13" s="4">
        <f>'OPEX'!AN28</f>
      </c>
      <c r="AO13" s="4">
        <f>'OPEX'!AO28</f>
      </c>
      <c r="AP13" s="4">
        <f>'OPEX'!AP28</f>
      </c>
      <c r="AQ13" s="4">
        <f>'OPEX'!AQ28</f>
      </c>
      <c r="AR13" s="4">
        <f>'OPEX'!AR28</f>
      </c>
    </row>
    <row r="14" spans="1:44" x14ac:dyDescent="0.25">
      <c r="A14" t="s">
        <v>193</v>
      </c>
      <c r="B14" s="4">
        <f>'OPEX'!B37</f>
      </c>
      <c r="C14" s="4">
        <f>'OPEX'!C37</f>
      </c>
      <c r="D14" s="4">
        <f>'OPEX'!D37</f>
      </c>
      <c r="E14" s="4">
        <f>'OPEX'!E37</f>
      </c>
      <c r="F14" s="4">
        <f>'OPEX'!F37</f>
      </c>
      <c r="G14" s="4">
        <f>'OPEX'!G37</f>
      </c>
      <c r="H14" s="4">
        <f>'OPEX'!H37</f>
      </c>
      <c r="I14" s="4">
        <f>'OPEX'!I37</f>
      </c>
      <c r="J14" s="4">
        <f>'OPEX'!J37</f>
      </c>
      <c r="K14" s="4">
        <f>'OPEX'!K37</f>
      </c>
      <c r="L14" s="4">
        <f>'OPEX'!L37</f>
      </c>
      <c r="M14" s="4">
        <f>'OPEX'!M37</f>
      </c>
      <c r="N14" s="4">
        <f>'OPEX'!N37</f>
      </c>
      <c r="O14" s="4">
        <f>'OPEX'!O37</f>
      </c>
      <c r="P14" s="4">
        <f>'OPEX'!P37</f>
      </c>
      <c r="Q14" s="4">
        <f>'OPEX'!Q37</f>
      </c>
      <c r="R14" s="4">
        <f>'OPEX'!R37</f>
      </c>
      <c r="S14" s="4">
        <f>'OPEX'!S37</f>
      </c>
      <c r="T14" s="4">
        <f>'OPEX'!T37</f>
      </c>
      <c r="U14" s="4">
        <f>'OPEX'!U37</f>
      </c>
      <c r="V14" s="4">
        <f>'OPEX'!V37</f>
      </c>
      <c r="W14" s="4">
        <f>'OPEX'!W37</f>
      </c>
      <c r="X14" s="4">
        <f>'OPEX'!X37</f>
      </c>
      <c r="Y14" s="4">
        <f>'OPEX'!Y37</f>
      </c>
      <c r="Z14" s="4">
        <f>'OPEX'!Z37</f>
      </c>
      <c r="AA14" s="4">
        <f>'OPEX'!AA37</f>
      </c>
      <c r="AB14" s="4">
        <f>'OPEX'!AB37</f>
      </c>
      <c r="AC14" s="4">
        <f>'OPEX'!AC37</f>
      </c>
      <c r="AD14" s="4">
        <f>'OPEX'!AD37</f>
      </c>
      <c r="AE14" s="4">
        <f>'OPEX'!AE37</f>
      </c>
      <c r="AF14" s="4">
        <f>'OPEX'!AF37</f>
      </c>
      <c r="AG14" s="4">
        <f>'OPEX'!AG37</f>
      </c>
      <c r="AH14" s="4">
        <f>'OPEX'!AH37</f>
      </c>
      <c r="AI14" s="4">
        <f>'OPEX'!AI37</f>
      </c>
      <c r="AJ14" s="4">
        <f>'OPEX'!AJ37</f>
      </c>
      <c r="AK14" s="4">
        <f>'OPEX'!AK37</f>
      </c>
      <c r="AL14" s="4">
        <f>'OPEX'!AL37</f>
      </c>
      <c r="AM14" s="4">
        <f>'OPEX'!AM37</f>
      </c>
      <c r="AN14" s="4">
        <f>'OPEX'!AN37</f>
      </c>
      <c r="AO14" s="4">
        <f>'OPEX'!AO37</f>
      </c>
      <c r="AP14" s="4">
        <f>'OPEX'!AP37</f>
      </c>
      <c r="AQ14" s="4">
        <f>'OPEX'!AQ37</f>
      </c>
      <c r="AR14" s="4">
        <f>'OPEX'!AR37</f>
      </c>
    </row>
    <row r="15" spans="1:44" x14ac:dyDescent="0.25">
      <c r="A15" s="10" t="s">
        <v>194</v>
      </c>
      <c r="B15" s="11">
        <f>B13+B14</f>
      </c>
      <c r="C15" s="11">
        <f>C13+C14</f>
      </c>
      <c r="D15" s="11">
        <f>D13+D14</f>
      </c>
      <c r="E15" s="11">
        <f>E13+E14</f>
      </c>
      <c r="F15" s="11">
        <f>F13+F14</f>
      </c>
      <c r="G15" s="11">
        <f>G13+G14</f>
      </c>
      <c r="H15" s="11">
        <f>H13+H14</f>
      </c>
      <c r="I15" s="11">
        <f>I13+I14</f>
      </c>
      <c r="J15" s="11">
        <f>J13+J14</f>
      </c>
      <c r="K15" s="11">
        <f>K13+K14</f>
      </c>
      <c r="L15" s="11">
        <f>L13+L14</f>
      </c>
      <c r="M15" s="11">
        <f>M13+M14</f>
      </c>
      <c r="N15" s="11">
        <f>N13+N14</f>
      </c>
      <c r="O15" s="11">
        <f>O13+O14</f>
      </c>
      <c r="P15" s="11">
        <f>P13+P14</f>
      </c>
      <c r="Q15" s="11">
        <f>Q13+Q14</f>
      </c>
      <c r="R15" s="11">
        <f>R13+R14</f>
      </c>
      <c r="S15" s="11">
        <f>S13+S14</f>
      </c>
      <c r="T15" s="11">
        <f>T13+T14</f>
      </c>
      <c r="U15" s="11">
        <f>U13+U14</f>
      </c>
      <c r="V15" s="11">
        <f>V13+V14</f>
      </c>
      <c r="W15" s="11">
        <f>W13+W14</f>
      </c>
      <c r="X15" s="11">
        <f>X13+X14</f>
      </c>
      <c r="Y15" s="11">
        <f>Y13+Y14</f>
      </c>
      <c r="Z15" s="11">
        <f>Z13+Z14</f>
      </c>
      <c r="AA15" s="11">
        <f>AA13+AA14</f>
      </c>
      <c r="AB15" s="11">
        <f>AB13+AB14</f>
      </c>
      <c r="AC15" s="11">
        <f>AC13+AC14</f>
      </c>
      <c r="AD15" s="11">
        <f>AD13+AD14</f>
      </c>
      <c r="AE15" s="11">
        <f>AE13+AE14</f>
      </c>
      <c r="AF15" s="11">
        <f>AF13+AF14</f>
      </c>
      <c r="AG15" s="11">
        <f>AG13+AG14</f>
      </c>
      <c r="AH15" s="11">
        <f>AH13+AH14</f>
      </c>
      <c r="AI15" s="11">
        <f>AI13+AI14</f>
      </c>
      <c r="AJ15" s="11">
        <f>AJ13+AJ14</f>
      </c>
      <c r="AK15" s="11">
        <f>AK13+AK14</f>
      </c>
      <c r="AL15" s="11">
        <f>AL13+AL14</f>
      </c>
      <c r="AM15" s="11">
        <f>AM13+AM14</f>
      </c>
      <c r="AN15" s="11">
        <f>AN13+AN14</f>
      </c>
      <c r="AO15" s="11">
        <f>AO13+AO14</f>
      </c>
      <c r="AP15" s="11">
        <f>AP13+AP14</f>
      </c>
      <c r="AQ15" s="11">
        <f>AQ13+AQ14</f>
      </c>
      <c r="AR15" s="11">
        <f>AR13+AR14</f>
      </c>
    </row>
    <row r="16" spans="1:44" x14ac:dyDescent="0.25">
      <c r="A16" s="10" t="s">
        <v>195</v>
      </c>
      <c r="B16" s="11">
        <f>B12-B15</f>
      </c>
      <c r="C16" s="11">
        <f>C12-C15</f>
      </c>
      <c r="D16" s="11">
        <f>D12-D15</f>
      </c>
      <c r="E16" s="11">
        <f>E12-E15</f>
      </c>
      <c r="F16" s="11">
        <f>F12-F15</f>
      </c>
      <c r="G16" s="11">
        <f>G12-G15</f>
      </c>
      <c r="H16" s="11">
        <f>H12-H15</f>
      </c>
      <c r="I16" s="11">
        <f>I12-I15</f>
      </c>
      <c r="J16" s="11">
        <f>J12-J15</f>
      </c>
      <c r="K16" s="11">
        <f>K12-K15</f>
      </c>
      <c r="L16" s="11">
        <f>L12-L15</f>
      </c>
      <c r="M16" s="11">
        <f>M12-M15</f>
      </c>
      <c r="N16" s="11">
        <f>N12-N15</f>
      </c>
      <c r="O16" s="11">
        <f>O12-O15</f>
      </c>
      <c r="P16" s="11">
        <f>P12-P15</f>
      </c>
      <c r="Q16" s="11">
        <f>Q12-Q15</f>
      </c>
      <c r="R16" s="11">
        <f>R12-R15</f>
      </c>
      <c r="S16" s="11">
        <f>S12-S15</f>
      </c>
      <c r="T16" s="11">
        <f>T12-T15</f>
      </c>
      <c r="U16" s="11">
        <f>U12-U15</f>
      </c>
      <c r="V16" s="11">
        <f>V12-V15</f>
      </c>
      <c r="W16" s="11">
        <f>W12-W15</f>
      </c>
      <c r="X16" s="11">
        <f>X12-X15</f>
      </c>
      <c r="Y16" s="11">
        <f>Y12-Y15</f>
      </c>
      <c r="Z16" s="11">
        <f>Z12-Z15</f>
      </c>
      <c r="AA16" s="11">
        <f>AA12-AA15</f>
      </c>
      <c r="AB16" s="11">
        <f>AB12-AB15</f>
      </c>
      <c r="AC16" s="11">
        <f>AC12-AC15</f>
      </c>
      <c r="AD16" s="11">
        <f>AD12-AD15</f>
      </c>
      <c r="AE16" s="11">
        <f>AE12-AE15</f>
      </c>
      <c r="AF16" s="11">
        <f>AF12-AF15</f>
      </c>
      <c r="AG16" s="11">
        <f>AG12-AG15</f>
      </c>
      <c r="AH16" s="11">
        <f>AH12-AH15</f>
      </c>
      <c r="AI16" s="11">
        <f>AI12-AI15</f>
      </c>
      <c r="AJ16" s="11">
        <f>AJ12-AJ15</f>
      </c>
      <c r="AK16" s="11">
        <f>AK12-AK15</f>
      </c>
      <c r="AL16" s="11">
        <f>AL12-AL15</f>
      </c>
      <c r="AM16" s="11">
        <f>AM12-AM15</f>
      </c>
      <c r="AN16" s="11">
        <f>AN12-AN15</f>
      </c>
      <c r="AO16" s="11">
        <f>AO12-AO15</f>
      </c>
      <c r="AP16" s="11">
        <f>AP12-AP15</f>
      </c>
      <c r="AQ16" s="11">
        <f>AQ12-AQ15</f>
      </c>
      <c r="AR16" s="11">
        <f>AR12-AR15</f>
      </c>
    </row>
    <row r="17" spans="1:44" x14ac:dyDescent="0.25">
      <c r="A17" t="s">
        <v>196</v>
      </c>
      <c r="B17" s="4">
        <f>'CAPEX'!B41</f>
      </c>
      <c r="C17" s="4">
        <f>'CAPEX'!C41</f>
      </c>
      <c r="D17" s="4">
        <f>'CAPEX'!D41</f>
      </c>
      <c r="E17" s="4">
        <f>'CAPEX'!E41</f>
      </c>
      <c r="F17" s="4">
        <f>'CAPEX'!F41</f>
      </c>
      <c r="G17" s="4">
        <f>'CAPEX'!G41</f>
      </c>
      <c r="H17" s="4">
        <f>'CAPEX'!H41</f>
      </c>
      <c r="I17" s="4">
        <f>'CAPEX'!I41</f>
      </c>
      <c r="J17" s="4">
        <f>'CAPEX'!J41</f>
      </c>
      <c r="K17" s="4">
        <f>'CAPEX'!K41</f>
      </c>
      <c r="L17" s="4">
        <f>'CAPEX'!L41</f>
      </c>
      <c r="M17" s="4">
        <f>'CAPEX'!M41</f>
      </c>
      <c r="N17" s="4">
        <f>'CAPEX'!N41</f>
      </c>
      <c r="O17" s="4">
        <f>'CAPEX'!O41</f>
      </c>
      <c r="P17" s="4">
        <f>'CAPEX'!P41</f>
      </c>
      <c r="Q17" s="4">
        <f>'CAPEX'!Q41</f>
      </c>
      <c r="R17" s="4">
        <f>'CAPEX'!R41</f>
      </c>
      <c r="S17" s="4">
        <f>'CAPEX'!S41</f>
      </c>
      <c r="T17" s="4">
        <f>'CAPEX'!T41</f>
      </c>
      <c r="U17" s="4">
        <f>'CAPEX'!U41</f>
      </c>
      <c r="V17" s="4">
        <f>'CAPEX'!V41</f>
      </c>
      <c r="W17" s="4">
        <f>'CAPEX'!W41</f>
      </c>
      <c r="X17" s="4">
        <f>'CAPEX'!X41</f>
      </c>
      <c r="Y17" s="4">
        <f>'CAPEX'!Y41</f>
      </c>
      <c r="Z17" s="4">
        <f>'CAPEX'!Z41</f>
      </c>
      <c r="AA17" s="4">
        <f>'CAPEX'!AA41</f>
      </c>
      <c r="AB17" s="4">
        <f>'CAPEX'!AB41</f>
      </c>
      <c r="AC17" s="4">
        <f>'CAPEX'!AC41</f>
      </c>
      <c r="AD17" s="4">
        <f>'CAPEX'!AD41</f>
      </c>
      <c r="AE17" s="4">
        <f>'CAPEX'!AE41</f>
      </c>
      <c r="AF17" s="4">
        <f>'CAPEX'!AF41</f>
      </c>
      <c r="AG17" s="4">
        <f>'CAPEX'!AG41</f>
      </c>
      <c r="AH17" s="4">
        <f>'CAPEX'!AH41</f>
      </c>
      <c r="AI17" s="4">
        <f>'CAPEX'!AI41</f>
      </c>
      <c r="AJ17" s="4">
        <f>'CAPEX'!AJ41</f>
      </c>
      <c r="AK17" s="4">
        <f>'CAPEX'!AK41</f>
      </c>
      <c r="AL17" s="4">
        <f>'CAPEX'!AL41</f>
      </c>
      <c r="AM17" s="4">
        <f>'CAPEX'!AM41</f>
      </c>
      <c r="AN17" s="4">
        <f>'CAPEX'!AN41</f>
      </c>
      <c r="AO17" s="4">
        <f>'CAPEX'!AO41</f>
      </c>
      <c r="AP17" s="4">
        <f>'CAPEX'!AP41</f>
      </c>
      <c r="AQ17" s="4">
        <f>'CAPEX'!AQ41</f>
      </c>
      <c r="AR17" s="4">
        <f>'CAPEX'!AR41</f>
      </c>
    </row>
    <row r="18" spans="1:44" x14ac:dyDescent="0.25">
      <c r="A18" s="10" t="s">
        <v>197</v>
      </c>
      <c r="B18" s="11">
        <f>B16-B17</f>
      </c>
      <c r="C18" s="11">
        <f>C16-C17</f>
      </c>
      <c r="D18" s="11">
        <f>D16-D17</f>
      </c>
      <c r="E18" s="11">
        <f>E16-E17</f>
      </c>
      <c r="F18" s="11">
        <f>F16-F17</f>
      </c>
      <c r="G18" s="11">
        <f>G16-G17</f>
      </c>
      <c r="H18" s="11">
        <f>H16-H17</f>
      </c>
      <c r="I18" s="11">
        <f>I16-I17</f>
      </c>
      <c r="J18" s="11">
        <f>J16-J17</f>
      </c>
      <c r="K18" s="11">
        <f>K16-K17</f>
      </c>
      <c r="L18" s="11">
        <f>L16-L17</f>
      </c>
      <c r="M18" s="11">
        <f>M16-M17</f>
      </c>
      <c r="N18" s="11">
        <f>N16-N17</f>
      </c>
      <c r="O18" s="11">
        <f>O16-O17</f>
      </c>
      <c r="P18" s="11">
        <f>P16-P17</f>
      </c>
      <c r="Q18" s="11">
        <f>Q16-Q17</f>
      </c>
      <c r="R18" s="11">
        <f>R16-R17</f>
      </c>
      <c r="S18" s="11">
        <f>S16-S17</f>
      </c>
      <c r="T18" s="11">
        <f>T16-T17</f>
      </c>
      <c r="U18" s="11">
        <f>U16-U17</f>
      </c>
      <c r="V18" s="11">
        <f>V16-V17</f>
      </c>
      <c r="W18" s="11">
        <f>W16-W17</f>
      </c>
      <c r="X18" s="11">
        <f>X16-X17</f>
      </c>
      <c r="Y18" s="11">
        <f>Y16-Y17</f>
      </c>
      <c r="Z18" s="11">
        <f>Z16-Z17</f>
      </c>
      <c r="AA18" s="11">
        <f>AA16-AA17</f>
      </c>
      <c r="AB18" s="11">
        <f>AB16-AB17</f>
      </c>
      <c r="AC18" s="11">
        <f>AC16-AC17</f>
      </c>
      <c r="AD18" s="11">
        <f>AD16-AD17</f>
      </c>
      <c r="AE18" s="11">
        <f>AE16-AE17</f>
      </c>
      <c r="AF18" s="11">
        <f>AF16-AF17</f>
      </c>
      <c r="AG18" s="11">
        <f>AG16-AG17</f>
      </c>
      <c r="AH18" s="11">
        <f>AH16-AH17</f>
      </c>
      <c r="AI18" s="11">
        <f>AI16-AI17</f>
      </c>
      <c r="AJ18" s="11">
        <f>AJ16-AJ17</f>
      </c>
      <c r="AK18" s="11">
        <f>AK16-AK17</f>
      </c>
      <c r="AL18" s="11">
        <f>AL16-AL17</f>
      </c>
      <c r="AM18" s="11">
        <f>AM16-AM17</f>
      </c>
      <c r="AN18" s="11">
        <f>AN16-AN17</f>
      </c>
      <c r="AO18" s="11">
        <f>AO16-AO17</f>
      </c>
      <c r="AP18" s="11">
        <f>AP16-AP17</f>
      </c>
      <c r="AQ18" s="11">
        <f>AQ16-AQ17</f>
      </c>
      <c r="AR18" s="11">
        <f>AR16-AR17</f>
      </c>
    </row>
    <row r="19" spans="1:44" x14ac:dyDescent="0.25">
      <c r="A19" t="s">
        <v>198</v>
      </c>
      <c r="B19" s="4">
        <f>'Financing'!B13</f>
      </c>
      <c r="C19" s="4">
        <f>'Financing'!C13</f>
      </c>
      <c r="D19" s="4">
        <f>'Financing'!D13</f>
      </c>
      <c r="E19" s="4">
        <f>'Financing'!E13</f>
      </c>
      <c r="F19" s="4">
        <f>'Financing'!F13</f>
      </c>
      <c r="G19" s="4">
        <f>'Financing'!G13</f>
      </c>
      <c r="H19" s="4">
        <f>'Financing'!H13</f>
      </c>
      <c r="I19" s="4">
        <f>'Financing'!I13</f>
      </c>
      <c r="J19" s="4">
        <f>'Financing'!J13</f>
      </c>
      <c r="K19" s="4">
        <f>'Financing'!K13</f>
      </c>
      <c r="L19" s="4">
        <f>'Financing'!L13</f>
      </c>
      <c r="M19" s="4">
        <f>'Financing'!M13</f>
      </c>
      <c r="N19" s="4">
        <f>'Financing'!N13</f>
      </c>
      <c r="O19" s="4">
        <f>'Financing'!O13</f>
      </c>
      <c r="P19" s="4">
        <f>'Financing'!P13</f>
      </c>
      <c r="Q19" s="4">
        <f>'Financing'!Q13</f>
      </c>
      <c r="R19" s="4">
        <f>'Financing'!R13</f>
      </c>
      <c r="S19" s="4">
        <f>'Financing'!S13</f>
      </c>
      <c r="T19" s="4">
        <f>'Financing'!T13</f>
      </c>
      <c r="U19" s="4">
        <f>'Financing'!U13</f>
      </c>
      <c r="V19" s="4">
        <f>'Financing'!V13</f>
      </c>
      <c r="W19" s="4">
        <f>'Financing'!W13</f>
      </c>
      <c r="X19" s="4">
        <f>'Financing'!X13</f>
      </c>
      <c r="Y19" s="4">
        <f>'Financing'!Y13</f>
      </c>
      <c r="Z19" s="4">
        <f>'Financing'!Z13</f>
      </c>
      <c r="AA19" s="4">
        <f>'Financing'!AA13</f>
      </c>
      <c r="AB19" s="4">
        <f>'Financing'!AB13</f>
      </c>
      <c r="AC19" s="4">
        <f>'Financing'!AC13</f>
      </c>
      <c r="AD19" s="4">
        <f>'Financing'!AD13</f>
      </c>
      <c r="AE19" s="4">
        <f>'Financing'!AE13</f>
      </c>
      <c r="AF19" s="4">
        <f>'Financing'!AF13</f>
      </c>
      <c r="AG19" s="4">
        <f>'Financing'!AG13</f>
      </c>
      <c r="AH19" s="4">
        <f>'Financing'!AH13</f>
      </c>
      <c r="AI19" s="4">
        <f>'Financing'!AI13</f>
      </c>
      <c r="AJ19" s="4">
        <f>'Financing'!AJ13</f>
      </c>
      <c r="AK19" s="4">
        <f>'Financing'!AK13</f>
      </c>
      <c r="AL19" s="4">
        <f>'Financing'!AL13</f>
      </c>
      <c r="AM19" s="4">
        <f>'Financing'!AM13</f>
      </c>
      <c r="AN19" s="4">
        <f>'Financing'!AN13</f>
      </c>
      <c r="AO19" s="4">
        <f>'Financing'!AO13</f>
      </c>
      <c r="AP19" s="4">
        <f>'Financing'!AP13</f>
      </c>
      <c r="AQ19" s="4">
        <f>'Financing'!AQ13</f>
      </c>
      <c r="AR19" s="4">
        <f>'Financing'!AR13</f>
      </c>
    </row>
    <row r="20" spans="1:44" x14ac:dyDescent="0.25">
      <c r="A20" t="s">
        <v>199</v>
      </c>
      <c r="B20" s="4">
        <f>'Financing'!B16</f>
      </c>
      <c r="C20" s="4">
        <f>'Financing'!C16</f>
      </c>
      <c r="D20" s="4">
        <f>'Financing'!D16</f>
      </c>
      <c r="E20" s="4">
        <f>'Financing'!E16</f>
      </c>
      <c r="F20" s="4">
        <f>'Financing'!F16</f>
      </c>
      <c r="G20" s="4">
        <f>'Financing'!G16</f>
      </c>
      <c r="H20" s="4">
        <f>'Financing'!H16</f>
      </c>
      <c r="I20" s="4">
        <f>'Financing'!I16</f>
      </c>
      <c r="J20" s="4">
        <f>'Financing'!J16</f>
      </c>
      <c r="K20" s="4">
        <f>'Financing'!K16</f>
      </c>
      <c r="L20" s="4">
        <f>'Financing'!L16</f>
      </c>
      <c r="M20" s="4">
        <f>'Financing'!M16</f>
      </c>
      <c r="N20" s="4">
        <f>'Financing'!N16</f>
      </c>
      <c r="O20" s="4">
        <f>'Financing'!O16</f>
      </c>
      <c r="P20" s="4">
        <f>'Financing'!P16</f>
      </c>
      <c r="Q20" s="4">
        <f>'Financing'!Q16</f>
      </c>
      <c r="R20" s="4">
        <f>'Financing'!R16</f>
      </c>
      <c r="S20" s="4">
        <f>'Financing'!S16</f>
      </c>
      <c r="T20" s="4">
        <f>'Financing'!T16</f>
      </c>
      <c r="U20" s="4">
        <f>'Financing'!U16</f>
      </c>
      <c r="V20" s="4">
        <f>'Financing'!V16</f>
      </c>
      <c r="W20" s="4">
        <f>'Financing'!W16</f>
      </c>
      <c r="X20" s="4">
        <f>'Financing'!X16</f>
      </c>
      <c r="Y20" s="4">
        <f>'Financing'!Y16</f>
      </c>
      <c r="Z20" s="4">
        <f>'Financing'!Z16</f>
      </c>
      <c r="AA20" s="4">
        <f>'Financing'!AA16</f>
      </c>
      <c r="AB20" s="4">
        <f>'Financing'!AB16</f>
      </c>
      <c r="AC20" s="4">
        <f>'Financing'!AC16</f>
      </c>
      <c r="AD20" s="4">
        <f>'Financing'!AD16</f>
      </c>
      <c r="AE20" s="4">
        <f>'Financing'!AE16</f>
      </c>
      <c r="AF20" s="4">
        <f>'Financing'!AF16</f>
      </c>
      <c r="AG20" s="4">
        <f>'Financing'!AG16</f>
      </c>
      <c r="AH20" s="4">
        <f>'Financing'!AH16</f>
      </c>
      <c r="AI20" s="4">
        <f>'Financing'!AI16</f>
      </c>
      <c r="AJ20" s="4">
        <f>'Financing'!AJ16</f>
      </c>
      <c r="AK20" s="4">
        <f>'Financing'!AK16</f>
      </c>
      <c r="AL20" s="4">
        <f>'Financing'!AL16</f>
      </c>
      <c r="AM20" s="4">
        <f>'Financing'!AM16</f>
      </c>
      <c r="AN20" s="4">
        <f>'Financing'!AN16</f>
      </c>
      <c r="AO20" s="4">
        <f>'Financing'!AO16</f>
      </c>
      <c r="AP20" s="4">
        <f>'Financing'!AP16</f>
      </c>
      <c r="AQ20" s="4">
        <f>'Financing'!AQ16</f>
      </c>
      <c r="AR20" s="4">
        <f>'Financing'!AR16</f>
      </c>
    </row>
    <row r="21" spans="1:44" x14ac:dyDescent="0.25">
      <c r="A21" s="10" t="s">
        <v>200</v>
      </c>
      <c r="B21" s="11">
        <f>B18-B19+B20</f>
      </c>
      <c r="C21" s="11">
        <f>C18-C19+C20</f>
      </c>
      <c r="D21" s="11">
        <f>D18-D19+D20</f>
      </c>
      <c r="E21" s="11">
        <f>E18-E19+E20</f>
      </c>
      <c r="F21" s="11">
        <f>F18-F19+F20</f>
      </c>
      <c r="G21" s="11">
        <f>G18-G19+G20</f>
      </c>
      <c r="H21" s="11">
        <f>H18-H19+H20</f>
      </c>
      <c r="I21" s="11">
        <f>I18-I19+I20</f>
      </c>
      <c r="J21" s="11">
        <f>J18-J19+J20</f>
      </c>
      <c r="K21" s="11">
        <f>K18-K19+K20</f>
      </c>
      <c r="L21" s="11">
        <f>L18-L19+L20</f>
      </c>
      <c r="M21" s="11">
        <f>M18-M19+M20</f>
      </c>
      <c r="N21" s="11">
        <f>N18-N19+N20</f>
      </c>
      <c r="O21" s="11">
        <f>O18-O19+O20</f>
      </c>
      <c r="P21" s="11">
        <f>P18-P19+P20</f>
      </c>
      <c r="Q21" s="11">
        <f>Q18-Q19+Q20</f>
      </c>
      <c r="R21" s="11">
        <f>R18-R19+R20</f>
      </c>
      <c r="S21" s="11">
        <f>S18-S19+S20</f>
      </c>
      <c r="T21" s="11">
        <f>T18-T19+T20</f>
      </c>
      <c r="U21" s="11">
        <f>U18-U19+U20</f>
      </c>
      <c r="V21" s="11">
        <f>V18-V19+V20</f>
      </c>
      <c r="W21" s="11">
        <f>W18-W19+W20</f>
      </c>
      <c r="X21" s="11">
        <f>X18-X19+X20</f>
      </c>
      <c r="Y21" s="11">
        <f>Y18-Y19+Y20</f>
      </c>
      <c r="Z21" s="11">
        <f>Z18-Z19+Z20</f>
      </c>
      <c r="AA21" s="11">
        <f>AA18-AA19+AA20</f>
      </c>
      <c r="AB21" s="11">
        <f>AB18-AB19+AB20</f>
      </c>
      <c r="AC21" s="11">
        <f>AC18-AC19+AC20</f>
      </c>
      <c r="AD21" s="11">
        <f>AD18-AD19+AD20</f>
      </c>
      <c r="AE21" s="11">
        <f>AE18-AE19+AE20</f>
      </c>
      <c r="AF21" s="11">
        <f>AF18-AF19+AF20</f>
      </c>
      <c r="AG21" s="11">
        <f>AG18-AG19+AG20</f>
      </c>
      <c r="AH21" s="11">
        <f>AH18-AH19+AH20</f>
      </c>
      <c r="AI21" s="11">
        <f>AI18-AI19+AI20</f>
      </c>
      <c r="AJ21" s="11">
        <f>AJ18-AJ19+AJ20</f>
      </c>
      <c r="AK21" s="11">
        <f>AK18-AK19+AK20</f>
      </c>
      <c r="AL21" s="11">
        <f>AL18-AL19+AL20</f>
      </c>
      <c r="AM21" s="11">
        <f>AM18-AM19+AM20</f>
      </c>
      <c r="AN21" s="11">
        <f>AN18-AN19+AN20</f>
      </c>
      <c r="AO21" s="11">
        <f>AO18-AO19+AO20</f>
      </c>
      <c r="AP21" s="11">
        <f>AP18-AP19+AP20</f>
      </c>
      <c r="AQ21" s="11">
        <f>AQ18-AQ19+AQ20</f>
      </c>
      <c r="AR21" s="11">
        <f>AR18-AR19+AR20</f>
      </c>
    </row>
    <row r="22" spans="1:44" x14ac:dyDescent="0.25">
      <c r="A22" t="s">
        <v>201</v>
      </c>
      <c r="B22" s="4">
        <f>MAX(0,0-B21)</f>
      </c>
      <c r="C22" s="4">
        <f>MAX(0,B22-C21)</f>
      </c>
      <c r="D22" s="4">
        <f>MAX(0,C22-D21)</f>
      </c>
      <c r="E22" s="4">
        <f>MAX(0,D22-E21)</f>
      </c>
      <c r="F22" s="4">
        <f>MAX(0,E22-F21)</f>
      </c>
      <c r="G22" s="4">
        <f>MAX(0,F22-G21)</f>
      </c>
      <c r="H22" s="4">
        <f>MAX(0,G22-H21)</f>
      </c>
      <c r="I22" s="4">
        <f>MAX(0,H22-I21)</f>
      </c>
      <c r="J22" s="4">
        <f>MAX(0,I22-J21)</f>
      </c>
      <c r="K22" s="4">
        <f>MAX(0,J22-K21)</f>
      </c>
      <c r="L22" s="4">
        <f>MAX(0,K22-L21)</f>
      </c>
      <c r="M22" s="4">
        <f>MAX(0,L22-M21)</f>
      </c>
      <c r="N22" s="4">
        <f>MAX(0,M22-N21)</f>
      </c>
      <c r="O22" s="4">
        <f>MAX(0,N22-O21)</f>
      </c>
      <c r="P22" s="4">
        <f>MAX(0,O22-P21)</f>
      </c>
      <c r="Q22" s="4">
        <f>MAX(0,P22-Q21)</f>
      </c>
      <c r="R22" s="4">
        <f>MAX(0,Q22-R21)</f>
      </c>
      <c r="S22" s="4">
        <f>MAX(0,R22-S21)</f>
      </c>
      <c r="T22" s="4">
        <f>MAX(0,S22-T21)</f>
      </c>
      <c r="U22" s="4">
        <f>MAX(0,T22-U21)</f>
      </c>
      <c r="V22" s="4">
        <f>MAX(0,U22-V21)</f>
      </c>
      <c r="W22" s="4">
        <f>MAX(0,V22-W21)</f>
      </c>
      <c r="X22" s="4">
        <f>MAX(0,W22-X21)</f>
      </c>
      <c r="Y22" s="4">
        <f>MAX(0,X22-Y21)</f>
      </c>
      <c r="Z22" s="4">
        <f>MAX(0,Y22-Z21)</f>
      </c>
      <c r="AA22" s="4">
        <f>MAX(0,Z22-AA21)</f>
      </c>
      <c r="AB22" s="4">
        <f>MAX(0,AA22-AB21)</f>
      </c>
      <c r="AC22" s="4">
        <f>MAX(0,AB22-AC21)</f>
      </c>
      <c r="AD22" s="4">
        <f>MAX(0,AC22-AD21)</f>
      </c>
      <c r="AE22" s="4">
        <f>MAX(0,AD22-AE21)</f>
      </c>
      <c r="AF22" s="4">
        <f>MAX(0,AE22-AF21)</f>
      </c>
      <c r="AG22" s="4">
        <f>MAX(0,AF22-AG21)</f>
      </c>
      <c r="AH22" s="4">
        <f>MAX(0,AG22-AH21)</f>
      </c>
      <c r="AI22" s="4">
        <f>MAX(0,AH22-AI21)</f>
      </c>
      <c r="AJ22" s="4">
        <f>MAX(0,AI22-AJ21)</f>
      </c>
      <c r="AK22" s="4">
        <f>MAX(0,AJ22-AK21)</f>
      </c>
      <c r="AL22" s="4">
        <f>MAX(0,AK22-AL21)</f>
      </c>
      <c r="AM22" s="4">
        <f>MAX(0,AL22-AM21)</f>
      </c>
      <c r="AN22" s="4">
        <f>MAX(0,AM22-AN21)</f>
      </c>
      <c r="AO22" s="4">
        <f>MAX(0,AN22-AO21)</f>
      </c>
      <c r="AP22" s="4">
        <f>MAX(0,AO22-AP21)</f>
      </c>
      <c r="AQ22" s="4">
        <f>MAX(0,AP22-AQ21)</f>
      </c>
      <c r="AR22" s="4">
        <f>MAX(0,AQ22-AR21)</f>
      </c>
    </row>
    <row r="23" spans="1:44" x14ac:dyDescent="0.25">
      <c r="A23" t="s">
        <v>202</v>
      </c>
      <c r="B23" s="4">
        <f>MAX(0,B21-0)*'Parameters'!$B$6</f>
      </c>
      <c r="C23" s="4">
        <f>MAX(0,C21-B22)*'Parameters'!$B$6</f>
      </c>
      <c r="D23" s="4">
        <f>MAX(0,D21-C22)*'Parameters'!$B$6</f>
      </c>
      <c r="E23" s="4">
        <f>MAX(0,E21-D22)*'Parameters'!$B$6</f>
      </c>
      <c r="F23" s="4">
        <f>MAX(0,F21-E22)*'Parameters'!$B$6</f>
      </c>
      <c r="G23" s="4">
        <f>MAX(0,G21-F22)*'Parameters'!$B$6</f>
      </c>
      <c r="H23" s="4">
        <f>MAX(0,H21-G22)*'Parameters'!$B$6</f>
      </c>
      <c r="I23" s="4">
        <f>MAX(0,I21-H22)*'Parameters'!$B$6</f>
      </c>
      <c r="J23" s="4">
        <f>MAX(0,J21-I22)*'Parameters'!$B$6</f>
      </c>
      <c r="K23" s="4">
        <f>MAX(0,K21-J22)*'Parameters'!$B$6</f>
      </c>
      <c r="L23" s="4">
        <f>MAX(0,L21-K22)*'Parameters'!$B$6</f>
      </c>
      <c r="M23" s="4">
        <f>MAX(0,M21-L22)*'Parameters'!$B$6</f>
      </c>
      <c r="N23" s="4">
        <f>MAX(0,N21-M22)*'Parameters'!$B$6</f>
      </c>
      <c r="O23" s="4">
        <f>MAX(0,O21-N22)*'Parameters'!$B$6</f>
      </c>
      <c r="P23" s="4">
        <f>MAX(0,P21-O22)*'Parameters'!$B$6</f>
      </c>
      <c r="Q23" s="4">
        <f>MAX(0,Q21-P22)*'Parameters'!$B$6</f>
      </c>
      <c r="R23" s="4">
        <f>MAX(0,R21-Q22)*'Parameters'!$B$6</f>
      </c>
      <c r="S23" s="4">
        <f>MAX(0,S21-R22)*'Parameters'!$B$6</f>
      </c>
      <c r="T23" s="4">
        <f>MAX(0,T21-S22)*'Parameters'!$B$6</f>
      </c>
      <c r="U23" s="4">
        <f>MAX(0,U21-T22)*'Parameters'!$B$6</f>
      </c>
      <c r="V23" s="4">
        <f>MAX(0,V21-U22)*'Parameters'!$B$6</f>
      </c>
      <c r="W23" s="4">
        <f>MAX(0,W21-V22)*'Parameters'!$B$6</f>
      </c>
      <c r="X23" s="4">
        <f>MAX(0,X21-W22)*'Parameters'!$B$6</f>
      </c>
      <c r="Y23" s="4">
        <f>MAX(0,Y21-X22)*'Parameters'!$B$6</f>
      </c>
      <c r="Z23" s="4">
        <f>MAX(0,Z21-Y22)*'Parameters'!$B$6</f>
      </c>
      <c r="AA23" s="4">
        <f>MAX(0,AA21-Z22)*'Parameters'!$B$6</f>
      </c>
      <c r="AB23" s="4">
        <f>MAX(0,AB21-AA22)*'Parameters'!$B$6</f>
      </c>
      <c r="AC23" s="4">
        <f>MAX(0,AC21-AB22)*'Parameters'!$B$6</f>
      </c>
      <c r="AD23" s="4">
        <f>MAX(0,AD21-AC22)*'Parameters'!$B$6</f>
      </c>
      <c r="AE23" s="4">
        <f>MAX(0,AE21-AD22)*'Parameters'!$B$6</f>
      </c>
      <c r="AF23" s="4">
        <f>MAX(0,AF21-AE22)*'Parameters'!$B$6</f>
      </c>
      <c r="AG23" s="4">
        <f>MAX(0,AG21-AF22)*'Parameters'!$B$6</f>
      </c>
      <c r="AH23" s="4">
        <f>MAX(0,AH21-AG22)*'Parameters'!$B$6</f>
      </c>
      <c r="AI23" s="4">
        <f>MAX(0,AI21-AH22)*'Parameters'!$B$6</f>
      </c>
      <c r="AJ23" s="4">
        <f>MAX(0,AJ21-AI22)*'Parameters'!$B$6</f>
      </c>
      <c r="AK23" s="4">
        <f>MAX(0,AK21-AJ22)*'Parameters'!$B$6</f>
      </c>
      <c r="AL23" s="4">
        <f>MAX(0,AL21-AK22)*'Parameters'!$B$6</f>
      </c>
      <c r="AM23" s="4">
        <f>MAX(0,AM21-AL22)*'Parameters'!$B$6</f>
      </c>
      <c r="AN23" s="4">
        <f>MAX(0,AN21-AM22)*'Parameters'!$B$6</f>
      </c>
      <c r="AO23" s="4">
        <f>MAX(0,AO21-AN22)*'Parameters'!$B$6</f>
      </c>
      <c r="AP23" s="4">
        <f>MAX(0,AP21-AO22)*'Parameters'!$B$6</f>
      </c>
      <c r="AQ23" s="4">
        <f>MAX(0,AQ21-AP22)*'Parameters'!$B$6</f>
      </c>
      <c r="AR23" s="4">
        <f>MAX(0,AR21-AQ22)*'Parameters'!$B$6</f>
      </c>
    </row>
    <row r="24" spans="1:44" x14ac:dyDescent="0.25">
      <c r="A24" s="10" t="s">
        <v>203</v>
      </c>
      <c r="B24" s="11">
        <f>B21-B23</f>
      </c>
      <c r="C24" s="11">
        <f>C21-C23</f>
      </c>
      <c r="D24" s="11">
        <f>D21-D23</f>
      </c>
      <c r="E24" s="11">
        <f>E21-E23</f>
      </c>
      <c r="F24" s="11">
        <f>F21-F23</f>
      </c>
      <c r="G24" s="11">
        <f>G21-G23</f>
      </c>
      <c r="H24" s="11">
        <f>H21-H23</f>
      </c>
      <c r="I24" s="11">
        <f>I21-I23</f>
      </c>
      <c r="J24" s="11">
        <f>J21-J23</f>
      </c>
      <c r="K24" s="11">
        <f>K21-K23</f>
      </c>
      <c r="L24" s="11">
        <f>L21-L23</f>
      </c>
      <c r="M24" s="11">
        <f>M21-M23</f>
      </c>
      <c r="N24" s="11">
        <f>N21-N23</f>
      </c>
      <c r="O24" s="11">
        <f>O21-O23</f>
      </c>
      <c r="P24" s="11">
        <f>P21-P23</f>
      </c>
      <c r="Q24" s="11">
        <f>Q21-Q23</f>
      </c>
      <c r="R24" s="11">
        <f>R21-R23</f>
      </c>
      <c r="S24" s="11">
        <f>S21-S23</f>
      </c>
      <c r="T24" s="11">
        <f>T21-T23</f>
      </c>
      <c r="U24" s="11">
        <f>U21-U23</f>
      </c>
      <c r="V24" s="11">
        <f>V21-V23</f>
      </c>
      <c r="W24" s="11">
        <f>W21-W23</f>
      </c>
      <c r="X24" s="11">
        <f>X21-X23</f>
      </c>
      <c r="Y24" s="11">
        <f>Y21-Y23</f>
      </c>
      <c r="Z24" s="11">
        <f>Z21-Z23</f>
      </c>
      <c r="AA24" s="11">
        <f>AA21-AA23</f>
      </c>
      <c r="AB24" s="11">
        <f>AB21-AB23</f>
      </c>
      <c r="AC24" s="11">
        <f>AC21-AC23</f>
      </c>
      <c r="AD24" s="11">
        <f>AD21-AD23</f>
      </c>
      <c r="AE24" s="11">
        <f>AE21-AE23</f>
      </c>
      <c r="AF24" s="11">
        <f>AF21-AF23</f>
      </c>
      <c r="AG24" s="11">
        <f>AG21-AG23</f>
      </c>
      <c r="AH24" s="11">
        <f>AH21-AH23</f>
      </c>
      <c r="AI24" s="11">
        <f>AI21-AI23</f>
      </c>
      <c r="AJ24" s="11">
        <f>AJ21-AJ23</f>
      </c>
      <c r="AK24" s="11">
        <f>AK21-AK23</f>
      </c>
      <c r="AL24" s="11">
        <f>AL21-AL23</f>
      </c>
      <c r="AM24" s="11">
        <f>AM21-AM23</f>
      </c>
      <c r="AN24" s="11">
        <f>AN21-AN23</f>
      </c>
      <c r="AO24" s="11">
        <f>AO21-AO23</f>
      </c>
      <c r="AP24" s="11">
        <f>AP21-AP23</f>
      </c>
      <c r="AQ24" s="11">
        <f>AQ21-AQ23</f>
      </c>
      <c r="AR24" s="11">
        <f>AR21-AR23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FormatPr defaultRowHeight="15" outlineLevelRow="0" outlineLevelCol="0" x14ac:dyDescent="55"/>
  <cols>
    <col min="1" max="1" width="42" customWidth="1"/>
    <col min="2" max="44" width="13" customWidth="1"/>
  </cols>
  <sheetData>
    <row r="1" spans="1:1" s="1" customFormat="1" x14ac:dyDescent="0.25">
      <c r="A1" s="1" t="s">
        <v>204</v>
      </c>
    </row>
    <row r="3" spans="1:44" x14ac:dyDescent="0.25">
      <c r="A3" s="6" t="s">
        <v>205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6" t="s">
        <v>34</v>
      </c>
      <c r="S3" s="6" t="s">
        <v>35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  <c r="AG3" s="6" t="s">
        <v>49</v>
      </c>
      <c r="AH3" s="6" t="s">
        <v>50</v>
      </c>
      <c r="AI3" s="6" t="s">
        <v>51</v>
      </c>
      <c r="AJ3" s="6" t="s">
        <v>52</v>
      </c>
      <c r="AK3" s="6" t="s">
        <v>53</v>
      </c>
      <c r="AL3" s="6" t="s">
        <v>54</v>
      </c>
      <c r="AM3" s="6" t="s">
        <v>55</v>
      </c>
      <c r="AN3" s="6" t="s">
        <v>56</v>
      </c>
      <c r="AO3" s="6" t="s">
        <v>57</v>
      </c>
      <c r="AP3" s="6" t="s">
        <v>58</v>
      </c>
      <c r="AQ3" s="6" t="s">
        <v>59</v>
      </c>
      <c r="AR3" s="6" t="s">
        <v>60</v>
      </c>
    </row>
    <row r="4" spans="1:44" x14ac:dyDescent="0.25">
      <c r="A4" t="s">
        <v>206</v>
      </c>
      <c r="B4" s="14">
        <v>30.416666666666668</v>
      </c>
      <c r="C4" s="14">
        <v>30.416666666666668</v>
      </c>
      <c r="D4" s="14">
        <v>30.416666666666668</v>
      </c>
      <c r="E4" s="14">
        <v>30.416666666666668</v>
      </c>
      <c r="F4" s="14">
        <v>30.416666666666668</v>
      </c>
      <c r="G4" s="14">
        <v>30.416666666666668</v>
      </c>
      <c r="H4" s="14">
        <v>30.416666666666668</v>
      </c>
      <c r="I4" s="14">
        <v>30.416666666666668</v>
      </c>
      <c r="J4" s="14">
        <v>30.416666666666668</v>
      </c>
      <c r="K4" s="14">
        <v>30.416666666666668</v>
      </c>
      <c r="L4" s="14">
        <v>30.416666666666668</v>
      </c>
      <c r="M4" s="14">
        <v>30.416666666666668</v>
      </c>
      <c r="N4" s="14">
        <v>30.416666666666668</v>
      </c>
      <c r="O4" s="14">
        <v>30.416666666666668</v>
      </c>
      <c r="P4" s="14">
        <v>30.416666666666668</v>
      </c>
      <c r="Q4" s="14">
        <v>30.416666666666668</v>
      </c>
      <c r="R4" s="14">
        <v>30.416666666666668</v>
      </c>
      <c r="S4" s="14">
        <v>30.416666666666668</v>
      </c>
      <c r="T4" s="14">
        <v>30.416666666666668</v>
      </c>
      <c r="U4" s="14">
        <v>30.416666666666668</v>
      </c>
      <c r="V4" s="14">
        <v>30.416666666666668</v>
      </c>
      <c r="W4" s="14">
        <v>30.416666666666668</v>
      </c>
      <c r="X4" s="14">
        <v>30.416666666666668</v>
      </c>
      <c r="Y4" s="14">
        <v>30.416666666666668</v>
      </c>
      <c r="Z4" s="14">
        <v>30.416666666666668</v>
      </c>
      <c r="AA4" s="14">
        <v>30.416666666666668</v>
      </c>
      <c r="AB4" s="14">
        <v>30.416666666666668</v>
      </c>
      <c r="AC4" s="14">
        <v>30.416666666666668</v>
      </c>
      <c r="AD4" s="14">
        <v>30.416666666666668</v>
      </c>
      <c r="AE4" s="14">
        <v>30.416666666666668</v>
      </c>
      <c r="AF4" s="14">
        <v>30.416666666666668</v>
      </c>
      <c r="AG4" s="14">
        <v>30.416666666666668</v>
      </c>
      <c r="AH4" s="14">
        <v>30.416666666666668</v>
      </c>
      <c r="AI4" s="14">
        <v>30.416666666666668</v>
      </c>
      <c r="AJ4" s="14">
        <v>30.416666666666668</v>
      </c>
      <c r="AK4" s="14">
        <v>30.416666666666668</v>
      </c>
      <c r="AL4" s="14">
        <v>365</v>
      </c>
      <c r="AM4" s="14">
        <v>365</v>
      </c>
      <c r="AN4" s="14">
        <v>365</v>
      </c>
      <c r="AO4" s="14">
        <v>365</v>
      </c>
      <c r="AP4" s="14">
        <v>365</v>
      </c>
      <c r="AQ4" s="14">
        <v>365</v>
      </c>
      <c r="AR4" s="14">
        <v>365</v>
      </c>
    </row>
    <row r="5" spans="1:44" x14ac:dyDescent="0.25">
      <c r="A5" t="s">
        <v>207</v>
      </c>
      <c r="B5" s="4">
        <f>IF(B4=0,0,'P&amp;L'!B4/B4*'Parameters'!$B$7)</f>
      </c>
      <c r="C5" s="4">
        <f>IF(C4=0,0,'P&amp;L'!C4/C4*'Parameters'!$B$7)</f>
      </c>
      <c r="D5" s="4">
        <f>IF(D4=0,0,'P&amp;L'!D4/D4*'Parameters'!$B$7)</f>
      </c>
      <c r="E5" s="4">
        <f>IF(E4=0,0,'P&amp;L'!E4/E4*'Parameters'!$B$7)</f>
      </c>
      <c r="F5" s="4">
        <f>IF(F4=0,0,'P&amp;L'!F4/F4*'Parameters'!$B$7)</f>
      </c>
      <c r="G5" s="4">
        <f>IF(G4=0,0,'P&amp;L'!G4/G4*'Parameters'!$B$7)</f>
      </c>
      <c r="H5" s="4">
        <f>IF(H4=0,0,'P&amp;L'!H4/H4*'Parameters'!$B$7)</f>
      </c>
      <c r="I5" s="4">
        <f>IF(I4=0,0,'P&amp;L'!I4/I4*'Parameters'!$B$7)</f>
      </c>
      <c r="J5" s="4">
        <f>IF(J4=0,0,'P&amp;L'!J4/J4*'Parameters'!$B$7)</f>
      </c>
      <c r="K5" s="4">
        <f>IF(K4=0,0,'P&amp;L'!K4/K4*'Parameters'!$B$7)</f>
      </c>
      <c r="L5" s="4">
        <f>IF(L4=0,0,'P&amp;L'!L4/L4*'Parameters'!$B$7)</f>
      </c>
      <c r="M5" s="4">
        <f>IF(M4=0,0,'P&amp;L'!M4/M4*'Parameters'!$B$7)</f>
      </c>
      <c r="N5" s="4">
        <f>IF(N4=0,0,'P&amp;L'!N4/N4*'Parameters'!$B$7)</f>
      </c>
      <c r="O5" s="4">
        <f>IF(O4=0,0,'P&amp;L'!O4/O4*'Parameters'!$B$7)</f>
      </c>
      <c r="P5" s="4">
        <f>IF(P4=0,0,'P&amp;L'!P4/P4*'Parameters'!$B$7)</f>
      </c>
      <c r="Q5" s="4">
        <f>IF(Q4=0,0,'P&amp;L'!Q4/Q4*'Parameters'!$B$7)</f>
      </c>
      <c r="R5" s="4">
        <f>IF(R4=0,0,'P&amp;L'!R4/R4*'Parameters'!$B$7)</f>
      </c>
      <c r="S5" s="4">
        <f>IF(S4=0,0,'P&amp;L'!S4/S4*'Parameters'!$B$7)</f>
      </c>
      <c r="T5" s="4">
        <f>IF(T4=0,0,'P&amp;L'!T4/T4*'Parameters'!$B$7)</f>
      </c>
      <c r="U5" s="4">
        <f>IF(U4=0,0,'P&amp;L'!U4/U4*'Parameters'!$B$7)</f>
      </c>
      <c r="V5" s="4">
        <f>IF(V4=0,0,'P&amp;L'!V4/V4*'Parameters'!$B$7)</f>
      </c>
      <c r="W5" s="4">
        <f>IF(W4=0,0,'P&amp;L'!W4/W4*'Parameters'!$B$7)</f>
      </c>
      <c r="X5" s="4">
        <f>IF(X4=0,0,'P&amp;L'!X4/X4*'Parameters'!$B$7)</f>
      </c>
      <c r="Y5" s="4">
        <f>IF(Y4=0,0,'P&amp;L'!Y4/Y4*'Parameters'!$B$7)</f>
      </c>
      <c r="Z5" s="4">
        <f>IF(Z4=0,0,'P&amp;L'!Z4/Z4*'Parameters'!$B$7)</f>
      </c>
      <c r="AA5" s="4">
        <f>IF(AA4=0,0,'P&amp;L'!AA4/AA4*'Parameters'!$B$7)</f>
      </c>
      <c r="AB5" s="4">
        <f>IF(AB4=0,0,'P&amp;L'!AB4/AB4*'Parameters'!$B$7)</f>
      </c>
      <c r="AC5" s="4">
        <f>IF(AC4=0,0,'P&amp;L'!AC4/AC4*'Parameters'!$B$7)</f>
      </c>
      <c r="AD5" s="4">
        <f>IF(AD4=0,0,'P&amp;L'!AD4/AD4*'Parameters'!$B$7)</f>
      </c>
      <c r="AE5" s="4">
        <f>IF(AE4=0,0,'P&amp;L'!AE4/AE4*'Parameters'!$B$7)</f>
      </c>
      <c r="AF5" s="4">
        <f>IF(AF4=0,0,'P&amp;L'!AF4/AF4*'Parameters'!$B$7)</f>
      </c>
      <c r="AG5" s="4">
        <f>IF(AG4=0,0,'P&amp;L'!AG4/AG4*'Parameters'!$B$7)</f>
      </c>
      <c r="AH5" s="4">
        <f>IF(AH4=0,0,'P&amp;L'!AH4/AH4*'Parameters'!$B$7)</f>
      </c>
      <c r="AI5" s="4">
        <f>IF(AI4=0,0,'P&amp;L'!AI4/AI4*'Parameters'!$B$7)</f>
      </c>
      <c r="AJ5" s="4">
        <f>IF(AJ4=0,0,'P&amp;L'!AJ4/AJ4*'Parameters'!$B$7)</f>
      </c>
      <c r="AK5" s="4">
        <f>IF(AK4=0,0,'P&amp;L'!AK4/AK4*'Parameters'!$B$7)</f>
      </c>
      <c r="AL5" s="4">
        <f>IF(AL4=0,0,'P&amp;L'!AL4/AL4*'Parameters'!$B$7)</f>
      </c>
      <c r="AM5" s="4">
        <f>IF(AM4=0,0,'P&amp;L'!AM4/AM4*'Parameters'!$B$7)</f>
      </c>
      <c r="AN5" s="4">
        <f>IF(AN4=0,0,'P&amp;L'!AN4/AN4*'Parameters'!$B$7)</f>
      </c>
      <c r="AO5" s="4">
        <f>IF(AO4=0,0,'P&amp;L'!AO4/AO4*'Parameters'!$B$7)</f>
      </c>
      <c r="AP5" s="4">
        <f>IF(AP4=0,0,'P&amp;L'!AP4/AP4*'Parameters'!$B$7)</f>
      </c>
      <c r="AQ5" s="4">
        <f>IF(AQ4=0,0,'P&amp;L'!AQ4/AQ4*'Parameters'!$B$7)</f>
      </c>
      <c r="AR5" s="4">
        <f>IF(AR4=0,0,'P&amp;L'!AR4/AR4*'Parameters'!$B$7)</f>
      </c>
    </row>
    <row r="6" spans="1:44" x14ac:dyDescent="0.25">
      <c r="A6" t="s">
        <v>208</v>
      </c>
      <c r="B6" s="4">
        <f>IF(B4=0,0,('P&amp;L'!B11+'P&amp;L'!B15)/B4*'Parameters'!$B$8)</f>
      </c>
      <c r="C6" s="4">
        <f>IF(C4=0,0,('P&amp;L'!C11+'P&amp;L'!C15)/C4*'Parameters'!$B$8)</f>
      </c>
      <c r="D6" s="4">
        <f>IF(D4=0,0,('P&amp;L'!D11+'P&amp;L'!D15)/D4*'Parameters'!$B$8)</f>
      </c>
      <c r="E6" s="4">
        <f>IF(E4=0,0,('P&amp;L'!E11+'P&amp;L'!E15)/E4*'Parameters'!$B$8)</f>
      </c>
      <c r="F6" s="4">
        <f>IF(F4=0,0,('P&amp;L'!F11+'P&amp;L'!F15)/F4*'Parameters'!$B$8)</f>
      </c>
      <c r="G6" s="4">
        <f>IF(G4=0,0,('P&amp;L'!G11+'P&amp;L'!G15)/G4*'Parameters'!$B$8)</f>
      </c>
      <c r="H6" s="4">
        <f>IF(H4=0,0,('P&amp;L'!H11+'P&amp;L'!H15)/H4*'Parameters'!$B$8)</f>
      </c>
      <c r="I6" s="4">
        <f>IF(I4=0,0,('P&amp;L'!I11+'P&amp;L'!I15)/I4*'Parameters'!$B$8)</f>
      </c>
      <c r="J6" s="4">
        <f>IF(J4=0,0,('P&amp;L'!J11+'P&amp;L'!J15)/J4*'Parameters'!$B$8)</f>
      </c>
      <c r="K6" s="4">
        <f>IF(K4=0,0,('P&amp;L'!K11+'P&amp;L'!K15)/K4*'Parameters'!$B$8)</f>
      </c>
      <c r="L6" s="4">
        <f>IF(L4=0,0,('P&amp;L'!L11+'P&amp;L'!L15)/L4*'Parameters'!$B$8)</f>
      </c>
      <c r="M6" s="4">
        <f>IF(M4=0,0,('P&amp;L'!M11+'P&amp;L'!M15)/M4*'Parameters'!$B$8)</f>
      </c>
      <c r="N6" s="4">
        <f>IF(N4=0,0,('P&amp;L'!N11+'P&amp;L'!N15)/N4*'Parameters'!$B$8)</f>
      </c>
      <c r="O6" s="4">
        <f>IF(O4=0,0,('P&amp;L'!O11+'P&amp;L'!O15)/O4*'Parameters'!$B$8)</f>
      </c>
      <c r="P6" s="4">
        <f>IF(P4=0,0,('P&amp;L'!P11+'P&amp;L'!P15)/P4*'Parameters'!$B$8)</f>
      </c>
      <c r="Q6" s="4">
        <f>IF(Q4=0,0,('P&amp;L'!Q11+'P&amp;L'!Q15)/Q4*'Parameters'!$B$8)</f>
      </c>
      <c r="R6" s="4">
        <f>IF(R4=0,0,('P&amp;L'!R11+'P&amp;L'!R15)/R4*'Parameters'!$B$8)</f>
      </c>
      <c r="S6" s="4">
        <f>IF(S4=0,0,('P&amp;L'!S11+'P&amp;L'!S15)/S4*'Parameters'!$B$8)</f>
      </c>
      <c r="T6" s="4">
        <f>IF(T4=0,0,('P&amp;L'!T11+'P&amp;L'!T15)/T4*'Parameters'!$B$8)</f>
      </c>
      <c r="U6" s="4">
        <f>IF(U4=0,0,('P&amp;L'!U11+'P&amp;L'!U15)/U4*'Parameters'!$B$8)</f>
      </c>
      <c r="V6" s="4">
        <f>IF(V4=0,0,('P&amp;L'!V11+'P&amp;L'!V15)/V4*'Parameters'!$B$8)</f>
      </c>
      <c r="W6" s="4">
        <f>IF(W4=0,0,('P&amp;L'!W11+'P&amp;L'!W15)/W4*'Parameters'!$B$8)</f>
      </c>
      <c r="X6" s="4">
        <f>IF(X4=0,0,('P&amp;L'!X11+'P&amp;L'!X15)/X4*'Parameters'!$B$8)</f>
      </c>
      <c r="Y6" s="4">
        <f>IF(Y4=0,0,('P&amp;L'!Y11+'P&amp;L'!Y15)/Y4*'Parameters'!$B$8)</f>
      </c>
      <c r="Z6" s="4">
        <f>IF(Z4=0,0,('P&amp;L'!Z11+'P&amp;L'!Z15)/Z4*'Parameters'!$B$8)</f>
      </c>
      <c r="AA6" s="4">
        <f>IF(AA4=0,0,('P&amp;L'!AA11+'P&amp;L'!AA15)/AA4*'Parameters'!$B$8)</f>
      </c>
      <c r="AB6" s="4">
        <f>IF(AB4=0,0,('P&amp;L'!AB11+'P&amp;L'!AB15)/AB4*'Parameters'!$B$8)</f>
      </c>
      <c r="AC6" s="4">
        <f>IF(AC4=0,0,('P&amp;L'!AC11+'P&amp;L'!AC15)/AC4*'Parameters'!$B$8)</f>
      </c>
      <c r="AD6" s="4">
        <f>IF(AD4=0,0,('P&amp;L'!AD11+'P&amp;L'!AD15)/AD4*'Parameters'!$B$8)</f>
      </c>
      <c r="AE6" s="4">
        <f>IF(AE4=0,0,('P&amp;L'!AE11+'P&amp;L'!AE15)/AE4*'Parameters'!$B$8)</f>
      </c>
      <c r="AF6" s="4">
        <f>IF(AF4=0,0,('P&amp;L'!AF11+'P&amp;L'!AF15)/AF4*'Parameters'!$B$8)</f>
      </c>
      <c r="AG6" s="4">
        <f>IF(AG4=0,0,('P&amp;L'!AG11+'P&amp;L'!AG15)/AG4*'Parameters'!$B$8)</f>
      </c>
      <c r="AH6" s="4">
        <f>IF(AH4=0,0,('P&amp;L'!AH11+'P&amp;L'!AH15)/AH4*'Parameters'!$B$8)</f>
      </c>
      <c r="AI6" s="4">
        <f>IF(AI4=0,0,('P&amp;L'!AI11+'P&amp;L'!AI15)/AI4*'Parameters'!$B$8)</f>
      </c>
      <c r="AJ6" s="4">
        <f>IF(AJ4=0,0,('P&amp;L'!AJ11+'P&amp;L'!AJ15)/AJ4*'Parameters'!$B$8)</f>
      </c>
      <c r="AK6" s="4">
        <f>IF(AK4=0,0,('P&amp;L'!AK11+'P&amp;L'!AK15)/AK4*'Parameters'!$B$8)</f>
      </c>
      <c r="AL6" s="4">
        <f>IF(AL4=0,0,('P&amp;L'!AL11+'P&amp;L'!AL15)/AL4*'Parameters'!$B$8)</f>
      </c>
      <c r="AM6" s="4">
        <f>IF(AM4=0,0,('P&amp;L'!AM11+'P&amp;L'!AM15)/AM4*'Parameters'!$B$8)</f>
      </c>
      <c r="AN6" s="4">
        <f>IF(AN4=0,0,('P&amp;L'!AN11+'P&amp;L'!AN15)/AN4*'Parameters'!$B$8)</f>
      </c>
      <c r="AO6" s="4">
        <f>IF(AO4=0,0,('P&amp;L'!AO11+'P&amp;L'!AO15)/AO4*'Parameters'!$B$8)</f>
      </c>
      <c r="AP6" s="4">
        <f>IF(AP4=0,0,('P&amp;L'!AP11+'P&amp;L'!AP15)/AP4*'Parameters'!$B$8)</f>
      </c>
      <c r="AQ6" s="4">
        <f>IF(AQ4=0,0,('P&amp;L'!AQ11+'P&amp;L'!AQ15)/AQ4*'Parameters'!$B$8)</f>
      </c>
      <c r="AR6" s="4">
        <f>IF(AR4=0,0,('P&amp;L'!AR11+'P&amp;L'!AR15)/AR4*'Parameters'!$B$8)</f>
      </c>
    </row>
    <row r="7" spans="1:44" x14ac:dyDescent="0.25">
      <c r="A7" t="s">
        <v>209</v>
      </c>
      <c r="B7" s="4">
        <f>-B5</f>
      </c>
      <c r="C7" s="4">
        <f>-(C5-B5)</f>
      </c>
      <c r="D7" s="4">
        <f>-(D5-C5)</f>
      </c>
      <c r="E7" s="4">
        <f>-(E5-D5)</f>
      </c>
      <c r="F7" s="4">
        <f>-(F5-E5)</f>
      </c>
      <c r="G7" s="4">
        <f>-(G5-F5)</f>
      </c>
      <c r="H7" s="4">
        <f>-(H5-G5)</f>
      </c>
      <c r="I7" s="4">
        <f>-(I5-H5)</f>
      </c>
      <c r="J7" s="4">
        <f>-(J5-I5)</f>
      </c>
      <c r="K7" s="4">
        <f>-(K5-J5)</f>
      </c>
      <c r="L7" s="4">
        <f>-(L5-K5)</f>
      </c>
      <c r="M7" s="4">
        <f>-(M5-L5)</f>
      </c>
      <c r="N7" s="4">
        <f>-(N5-M5)</f>
      </c>
      <c r="O7" s="4">
        <f>-(O5-N5)</f>
      </c>
      <c r="P7" s="4">
        <f>-(P5-O5)</f>
      </c>
      <c r="Q7" s="4">
        <f>-(Q5-P5)</f>
      </c>
      <c r="R7" s="4">
        <f>-(R5-Q5)</f>
      </c>
      <c r="S7" s="4">
        <f>-(S5-R5)</f>
      </c>
      <c r="T7" s="4">
        <f>-(T5-S5)</f>
      </c>
      <c r="U7" s="4">
        <f>-(U5-T5)</f>
      </c>
      <c r="V7" s="4">
        <f>-(V5-U5)</f>
      </c>
      <c r="W7" s="4">
        <f>-(W5-V5)</f>
      </c>
      <c r="X7" s="4">
        <f>-(X5-W5)</f>
      </c>
      <c r="Y7" s="4">
        <f>-(Y5-X5)</f>
      </c>
      <c r="Z7" s="4">
        <f>-(Z5-Y5)</f>
      </c>
      <c r="AA7" s="4">
        <f>-(AA5-Z5)</f>
      </c>
      <c r="AB7" s="4">
        <f>-(AB5-AA5)</f>
      </c>
      <c r="AC7" s="4">
        <f>-(AC5-AB5)</f>
      </c>
      <c r="AD7" s="4">
        <f>-(AD5-AC5)</f>
      </c>
      <c r="AE7" s="4">
        <f>-(AE5-AD5)</f>
      </c>
      <c r="AF7" s="4">
        <f>-(AF5-AE5)</f>
      </c>
      <c r="AG7" s="4">
        <f>-(AG5-AF5)</f>
      </c>
      <c r="AH7" s="4">
        <f>-(AH5-AG5)</f>
      </c>
      <c r="AI7" s="4">
        <f>-(AI5-AH5)</f>
      </c>
      <c r="AJ7" s="4">
        <f>-(AJ5-AI5)</f>
      </c>
      <c r="AK7" s="4">
        <f>-(AK5-AJ5)</f>
      </c>
      <c r="AL7" s="4">
        <f>-(AL5-AK5)</f>
      </c>
      <c r="AM7" s="4">
        <f>-(AM5-AL5)</f>
      </c>
      <c r="AN7" s="4">
        <f>-(AN5-AM5)</f>
      </c>
      <c r="AO7" s="4">
        <f>-(AO5-AN5)</f>
      </c>
      <c r="AP7" s="4">
        <f>-(AP5-AO5)</f>
      </c>
      <c r="AQ7" s="4">
        <f>-(AQ5-AP5)</f>
      </c>
      <c r="AR7" s="4">
        <f>-(AR5-AQ5)</f>
      </c>
    </row>
    <row r="8" spans="1:44" x14ac:dyDescent="0.25">
      <c r="A8" t="s">
        <v>210</v>
      </c>
      <c r="B8" s="4">
        <f>B6</f>
      </c>
      <c r="C8" s="4">
        <f>C6-B6</f>
      </c>
      <c r="D8" s="4">
        <f>D6-C6</f>
      </c>
      <c r="E8" s="4">
        <f>E6-D6</f>
      </c>
      <c r="F8" s="4">
        <f>F6-E6</f>
      </c>
      <c r="G8" s="4">
        <f>G6-F6</f>
      </c>
      <c r="H8" s="4">
        <f>H6-G6</f>
      </c>
      <c r="I8" s="4">
        <f>I6-H6</f>
      </c>
      <c r="J8" s="4">
        <f>J6-I6</f>
      </c>
      <c r="K8" s="4">
        <f>K6-J6</f>
      </c>
      <c r="L8" s="4">
        <f>L6-K6</f>
      </c>
      <c r="M8" s="4">
        <f>M6-L6</f>
      </c>
      <c r="N8" s="4">
        <f>N6-M6</f>
      </c>
      <c r="O8" s="4">
        <f>O6-N6</f>
      </c>
      <c r="P8" s="4">
        <f>P6-O6</f>
      </c>
      <c r="Q8" s="4">
        <f>Q6-P6</f>
      </c>
      <c r="R8" s="4">
        <f>R6-Q6</f>
      </c>
      <c r="S8" s="4">
        <f>S6-R6</f>
      </c>
      <c r="T8" s="4">
        <f>T6-S6</f>
      </c>
      <c r="U8" s="4">
        <f>U6-T6</f>
      </c>
      <c r="V8" s="4">
        <f>V6-U6</f>
      </c>
      <c r="W8" s="4">
        <f>W6-V6</f>
      </c>
      <c r="X8" s="4">
        <f>X6-W6</f>
      </c>
      <c r="Y8" s="4">
        <f>Y6-X6</f>
      </c>
      <c r="Z8" s="4">
        <f>Z6-Y6</f>
      </c>
      <c r="AA8" s="4">
        <f>AA6-Z6</f>
      </c>
      <c r="AB8" s="4">
        <f>AB6-AA6</f>
      </c>
      <c r="AC8" s="4">
        <f>AC6-AB6</f>
      </c>
      <c r="AD8" s="4">
        <f>AD6-AC6</f>
      </c>
      <c r="AE8" s="4">
        <f>AE6-AD6</f>
      </c>
      <c r="AF8" s="4">
        <f>AF6-AE6</f>
      </c>
      <c r="AG8" s="4">
        <f>AG6-AF6</f>
      </c>
      <c r="AH8" s="4">
        <f>AH6-AG6</f>
      </c>
      <c r="AI8" s="4">
        <f>AI6-AH6</f>
      </c>
      <c r="AJ8" s="4">
        <f>AJ6-AI6</f>
      </c>
      <c r="AK8" s="4">
        <f>AK6-AJ6</f>
      </c>
      <c r="AL8" s="4">
        <f>AL6-AK6</f>
      </c>
      <c r="AM8" s="4">
        <f>AM6-AL6</f>
      </c>
      <c r="AN8" s="4">
        <f>AN6-AM6</f>
      </c>
      <c r="AO8" s="4">
        <f>AO6-AN6</f>
      </c>
      <c r="AP8" s="4">
        <f>AP6-AO6</f>
      </c>
      <c r="AQ8" s="4">
        <f>AQ6-AP6</f>
      </c>
      <c r="AR8" s="4">
        <f>AR6-AQ6</f>
      </c>
    </row>
    <row r="9" spans="1:44" x14ac:dyDescent="0.25">
      <c r="A9" t="s">
        <v>211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</row>
    <row r="10" spans="1:44" x14ac:dyDescent="0.25">
      <c r="A10" s="10" t="s">
        <v>212</v>
      </c>
      <c r="B10" s="11">
        <f>'P&amp;L'!B24+'P&amp;L'!B17-'P&amp;L'!B20+B7+B8+B9</f>
      </c>
      <c r="C10" s="11">
        <f>'P&amp;L'!C24+'P&amp;L'!C17-'P&amp;L'!C20+C7+C8+C9</f>
      </c>
      <c r="D10" s="11">
        <f>'P&amp;L'!D24+'P&amp;L'!D17-'P&amp;L'!D20+D7+D8+D9</f>
      </c>
      <c r="E10" s="11">
        <f>'P&amp;L'!E24+'P&amp;L'!E17-'P&amp;L'!E20+E7+E8+E9</f>
      </c>
      <c r="F10" s="11">
        <f>'P&amp;L'!F24+'P&amp;L'!F17-'P&amp;L'!F20+F7+F8+F9</f>
      </c>
      <c r="G10" s="11">
        <f>'P&amp;L'!G24+'P&amp;L'!G17-'P&amp;L'!G20+G7+G8+G9</f>
      </c>
      <c r="H10" s="11">
        <f>'P&amp;L'!H24+'P&amp;L'!H17-'P&amp;L'!H20+H7+H8+H9</f>
      </c>
      <c r="I10" s="11">
        <f>'P&amp;L'!I24+'P&amp;L'!I17-'P&amp;L'!I20+I7+I8+I9</f>
      </c>
      <c r="J10" s="11">
        <f>'P&amp;L'!J24+'P&amp;L'!J17-'P&amp;L'!J20+J7+J8+J9</f>
      </c>
      <c r="K10" s="11">
        <f>'P&amp;L'!K24+'P&amp;L'!K17-'P&amp;L'!K20+K7+K8+K9</f>
      </c>
      <c r="L10" s="11">
        <f>'P&amp;L'!L24+'P&amp;L'!L17-'P&amp;L'!L20+L7+L8+L9</f>
      </c>
      <c r="M10" s="11">
        <f>'P&amp;L'!M24+'P&amp;L'!M17-'P&amp;L'!M20+M7+M8+M9</f>
      </c>
      <c r="N10" s="11">
        <f>'P&amp;L'!N24+'P&amp;L'!N17-'P&amp;L'!N20+N7+N8+N9</f>
      </c>
      <c r="O10" s="11">
        <f>'P&amp;L'!O24+'P&amp;L'!O17-'P&amp;L'!O20+O7+O8+O9</f>
      </c>
      <c r="P10" s="11">
        <f>'P&amp;L'!P24+'P&amp;L'!P17-'P&amp;L'!P20+P7+P8+P9</f>
      </c>
      <c r="Q10" s="11">
        <f>'P&amp;L'!Q24+'P&amp;L'!Q17-'P&amp;L'!Q20+Q7+Q8+Q9</f>
      </c>
      <c r="R10" s="11">
        <f>'P&amp;L'!R24+'P&amp;L'!R17-'P&amp;L'!R20+R7+R8+R9</f>
      </c>
      <c r="S10" s="11">
        <f>'P&amp;L'!S24+'P&amp;L'!S17-'P&amp;L'!S20+S7+S8+S9</f>
      </c>
      <c r="T10" s="11">
        <f>'P&amp;L'!T24+'P&amp;L'!T17-'P&amp;L'!T20+T7+T8+T9</f>
      </c>
      <c r="U10" s="11">
        <f>'P&amp;L'!U24+'P&amp;L'!U17-'P&amp;L'!U20+U7+U8+U9</f>
      </c>
      <c r="V10" s="11">
        <f>'P&amp;L'!V24+'P&amp;L'!V17-'P&amp;L'!V20+V7+V8+V9</f>
      </c>
      <c r="W10" s="11">
        <f>'P&amp;L'!W24+'P&amp;L'!W17-'P&amp;L'!W20+W7+W8+W9</f>
      </c>
      <c r="X10" s="11">
        <f>'P&amp;L'!X24+'P&amp;L'!X17-'P&amp;L'!X20+X7+X8+X9</f>
      </c>
      <c r="Y10" s="11">
        <f>'P&amp;L'!Y24+'P&amp;L'!Y17-'P&amp;L'!Y20+Y7+Y8+Y9</f>
      </c>
      <c r="Z10" s="11">
        <f>'P&amp;L'!Z24+'P&amp;L'!Z17-'P&amp;L'!Z20+Z7+Z8+Z9</f>
      </c>
      <c r="AA10" s="11">
        <f>'P&amp;L'!AA24+'P&amp;L'!AA17-'P&amp;L'!AA20+AA7+AA8+AA9</f>
      </c>
      <c r="AB10" s="11">
        <f>'P&amp;L'!AB24+'P&amp;L'!AB17-'P&amp;L'!AB20+AB7+AB8+AB9</f>
      </c>
      <c r="AC10" s="11">
        <f>'P&amp;L'!AC24+'P&amp;L'!AC17-'P&amp;L'!AC20+AC7+AC8+AC9</f>
      </c>
      <c r="AD10" s="11">
        <f>'P&amp;L'!AD24+'P&amp;L'!AD17-'P&amp;L'!AD20+AD7+AD8+AD9</f>
      </c>
      <c r="AE10" s="11">
        <f>'P&amp;L'!AE24+'P&amp;L'!AE17-'P&amp;L'!AE20+AE7+AE8+AE9</f>
      </c>
      <c r="AF10" s="11">
        <f>'P&amp;L'!AF24+'P&amp;L'!AF17-'P&amp;L'!AF20+AF7+AF8+AF9</f>
      </c>
      <c r="AG10" s="11">
        <f>'P&amp;L'!AG24+'P&amp;L'!AG17-'P&amp;L'!AG20+AG7+AG8+AG9</f>
      </c>
      <c r="AH10" s="11">
        <f>'P&amp;L'!AH24+'P&amp;L'!AH17-'P&amp;L'!AH20+AH7+AH8+AH9</f>
      </c>
      <c r="AI10" s="11">
        <f>'P&amp;L'!AI24+'P&amp;L'!AI17-'P&amp;L'!AI20+AI7+AI8+AI9</f>
      </c>
      <c r="AJ10" s="11">
        <f>'P&amp;L'!AJ24+'P&amp;L'!AJ17-'P&amp;L'!AJ20+AJ7+AJ8+AJ9</f>
      </c>
      <c r="AK10" s="11">
        <f>'P&amp;L'!AK24+'P&amp;L'!AK17-'P&amp;L'!AK20+AK7+AK8+AK9</f>
      </c>
      <c r="AL10" s="11">
        <f>'P&amp;L'!AL24+'P&amp;L'!AL17-'P&amp;L'!AL20+AL7+AL8+AL9</f>
      </c>
      <c r="AM10" s="11">
        <f>'P&amp;L'!AM24+'P&amp;L'!AM17-'P&amp;L'!AM20+AM7+AM8+AM9</f>
      </c>
      <c r="AN10" s="11">
        <f>'P&amp;L'!AN24+'P&amp;L'!AN17-'P&amp;L'!AN20+AN7+AN8+AN9</f>
      </c>
      <c r="AO10" s="11">
        <f>'P&amp;L'!AO24+'P&amp;L'!AO17-'P&amp;L'!AO20+AO7+AO8+AO9</f>
      </c>
      <c r="AP10" s="11">
        <f>'P&amp;L'!AP24+'P&amp;L'!AP17-'P&amp;L'!AP20+AP7+AP8+AP9</f>
      </c>
      <c r="AQ10" s="11">
        <f>'P&amp;L'!AQ24+'P&amp;L'!AQ17-'P&amp;L'!AQ20+AQ7+AQ8+AQ9</f>
      </c>
      <c r="AR10" s="11">
        <f>'P&amp;L'!AR24+'P&amp;L'!AR17-'P&amp;L'!AR20+AR7+AR8+AR9</f>
      </c>
    </row>
    <row r="11" spans="1:44" x14ac:dyDescent="0.25">
      <c r="A11" s="10" t="s">
        <v>213</v>
      </c>
      <c r="B11" s="11">
        <f>-'CAPEX'!B39</f>
      </c>
      <c r="C11" s="11">
        <f>-'CAPEX'!C39</f>
      </c>
      <c r="D11" s="11">
        <f>-'CAPEX'!D39</f>
      </c>
      <c r="E11" s="11">
        <f>-'CAPEX'!E39</f>
      </c>
      <c r="F11" s="11">
        <f>-'CAPEX'!F39</f>
      </c>
      <c r="G11" s="11">
        <f>-'CAPEX'!G39</f>
      </c>
      <c r="H11" s="11">
        <f>-'CAPEX'!H39</f>
      </c>
      <c r="I11" s="11">
        <f>-'CAPEX'!I39</f>
      </c>
      <c r="J11" s="11">
        <f>-'CAPEX'!J39</f>
      </c>
      <c r="K11" s="11">
        <f>-'CAPEX'!K39</f>
      </c>
      <c r="L11" s="11">
        <f>-'CAPEX'!L39</f>
      </c>
      <c r="M11" s="11">
        <f>-'CAPEX'!M39</f>
      </c>
      <c r="N11" s="11">
        <f>-'CAPEX'!N39</f>
      </c>
      <c r="O11" s="11">
        <f>-'CAPEX'!O39</f>
      </c>
      <c r="P11" s="11">
        <f>-'CAPEX'!P39</f>
      </c>
      <c r="Q11" s="11">
        <f>-'CAPEX'!Q39</f>
      </c>
      <c r="R11" s="11">
        <f>-'CAPEX'!R39</f>
      </c>
      <c r="S11" s="11">
        <f>-'CAPEX'!S39</f>
      </c>
      <c r="T11" s="11">
        <f>-'CAPEX'!T39</f>
      </c>
      <c r="U11" s="11">
        <f>-'CAPEX'!U39</f>
      </c>
      <c r="V11" s="11">
        <f>-'CAPEX'!V39</f>
      </c>
      <c r="W11" s="11">
        <f>-'CAPEX'!W39</f>
      </c>
      <c r="X11" s="11">
        <f>-'CAPEX'!X39</f>
      </c>
      <c r="Y11" s="11">
        <f>-'CAPEX'!Y39</f>
      </c>
      <c r="Z11" s="11">
        <f>-'CAPEX'!Z39</f>
      </c>
      <c r="AA11" s="11">
        <f>-'CAPEX'!AA39</f>
      </c>
      <c r="AB11" s="11">
        <f>-'CAPEX'!AB39</f>
      </c>
      <c r="AC11" s="11">
        <f>-'CAPEX'!AC39</f>
      </c>
      <c r="AD11" s="11">
        <f>-'CAPEX'!AD39</f>
      </c>
      <c r="AE11" s="11">
        <f>-'CAPEX'!AE39</f>
      </c>
      <c r="AF11" s="11">
        <f>-'CAPEX'!AF39</f>
      </c>
      <c r="AG11" s="11">
        <f>-'CAPEX'!AG39</f>
      </c>
      <c r="AH11" s="11">
        <f>-'CAPEX'!AH39</f>
      </c>
      <c r="AI11" s="11">
        <f>-'CAPEX'!AI39</f>
      </c>
      <c r="AJ11" s="11">
        <f>-'CAPEX'!AJ39</f>
      </c>
      <c r="AK11" s="11">
        <f>-'CAPEX'!AK39</f>
      </c>
      <c r="AL11" s="11">
        <f>-'CAPEX'!AL39</f>
      </c>
      <c r="AM11" s="11">
        <f>-'CAPEX'!AM39</f>
      </c>
      <c r="AN11" s="11">
        <f>-'CAPEX'!AN39</f>
      </c>
      <c r="AO11" s="11">
        <f>-'CAPEX'!AO39</f>
      </c>
      <c r="AP11" s="11">
        <f>-'CAPEX'!AP39</f>
      </c>
      <c r="AQ11" s="11">
        <f>-'CAPEX'!AQ39</f>
      </c>
      <c r="AR11" s="11">
        <f>-'CAPEX'!AR39</f>
      </c>
    </row>
    <row r="12" spans="1:44" x14ac:dyDescent="0.25">
      <c r="A12" t="s">
        <v>214</v>
      </c>
      <c r="B12" s="4">
        <f>'Financing'!B11</f>
      </c>
      <c r="C12" s="4">
        <f>'Financing'!C11</f>
      </c>
      <c r="D12" s="4">
        <f>'Financing'!D11</f>
      </c>
      <c r="E12" s="4">
        <f>'Financing'!E11</f>
      </c>
      <c r="F12" s="4">
        <f>'Financing'!F11</f>
      </c>
      <c r="G12" s="4">
        <f>'Financing'!G11</f>
      </c>
      <c r="H12" s="4">
        <f>'Financing'!H11</f>
      </c>
      <c r="I12" s="4">
        <f>'Financing'!I11</f>
      </c>
      <c r="J12" s="4">
        <f>'Financing'!J11</f>
      </c>
      <c r="K12" s="4">
        <f>'Financing'!K11</f>
      </c>
      <c r="L12" s="4">
        <f>'Financing'!L11</f>
      </c>
      <c r="M12" s="4">
        <f>'Financing'!M11</f>
      </c>
      <c r="N12" s="4">
        <f>'Financing'!N11</f>
      </c>
      <c r="O12" s="4">
        <f>'Financing'!O11</f>
      </c>
      <c r="P12" s="4">
        <f>'Financing'!P11</f>
      </c>
      <c r="Q12" s="4">
        <f>'Financing'!Q11</f>
      </c>
      <c r="R12" s="4">
        <f>'Financing'!R11</f>
      </c>
      <c r="S12" s="4">
        <f>'Financing'!S11</f>
      </c>
      <c r="T12" s="4">
        <f>'Financing'!T11</f>
      </c>
      <c r="U12" s="4">
        <f>'Financing'!U11</f>
      </c>
      <c r="V12" s="4">
        <f>'Financing'!V11</f>
      </c>
      <c r="W12" s="4">
        <f>'Financing'!W11</f>
      </c>
      <c r="X12" s="4">
        <f>'Financing'!X11</f>
      </c>
      <c r="Y12" s="4">
        <f>'Financing'!Y11</f>
      </c>
      <c r="Z12" s="4">
        <f>'Financing'!Z11</f>
      </c>
      <c r="AA12" s="4">
        <f>'Financing'!AA11</f>
      </c>
      <c r="AB12" s="4">
        <f>'Financing'!AB11</f>
      </c>
      <c r="AC12" s="4">
        <f>'Financing'!AC11</f>
      </c>
      <c r="AD12" s="4">
        <f>'Financing'!AD11</f>
      </c>
      <c r="AE12" s="4">
        <f>'Financing'!AE11</f>
      </c>
      <c r="AF12" s="4">
        <f>'Financing'!AF11</f>
      </c>
      <c r="AG12" s="4">
        <f>'Financing'!AG11</f>
      </c>
      <c r="AH12" s="4">
        <f>'Financing'!AH11</f>
      </c>
      <c r="AI12" s="4">
        <f>'Financing'!AI11</f>
      </c>
      <c r="AJ12" s="4">
        <f>'Financing'!AJ11</f>
      </c>
      <c r="AK12" s="4">
        <f>'Financing'!AK11</f>
      </c>
      <c r="AL12" s="4">
        <f>'Financing'!AL11</f>
      </c>
      <c r="AM12" s="4">
        <f>'Financing'!AM11</f>
      </c>
      <c r="AN12" s="4">
        <f>'Financing'!AN11</f>
      </c>
      <c r="AO12" s="4">
        <f>'Financing'!AO11</f>
      </c>
      <c r="AP12" s="4">
        <f>'Financing'!AP11</f>
      </c>
      <c r="AQ12" s="4">
        <f>'Financing'!AQ11</f>
      </c>
      <c r="AR12" s="4">
        <f>'Financing'!AR11</f>
      </c>
    </row>
    <row r="13" spans="1:44" x14ac:dyDescent="0.25">
      <c r="A13" t="s">
        <v>215</v>
      </c>
      <c r="B13" s="4">
        <f>-'Financing'!B12</f>
      </c>
      <c r="C13" s="4">
        <f>-'Financing'!C12</f>
      </c>
      <c r="D13" s="4">
        <f>-'Financing'!D12</f>
      </c>
      <c r="E13" s="4">
        <f>-'Financing'!E12</f>
      </c>
      <c r="F13" s="4">
        <f>-'Financing'!F12</f>
      </c>
      <c r="G13" s="4">
        <f>-'Financing'!G12</f>
      </c>
      <c r="H13" s="4">
        <f>-'Financing'!H12</f>
      </c>
      <c r="I13" s="4">
        <f>-'Financing'!I12</f>
      </c>
      <c r="J13" s="4">
        <f>-'Financing'!J12</f>
      </c>
      <c r="K13" s="4">
        <f>-'Financing'!K12</f>
      </c>
      <c r="L13" s="4">
        <f>-'Financing'!L12</f>
      </c>
      <c r="M13" s="4">
        <f>-'Financing'!M12</f>
      </c>
      <c r="N13" s="4">
        <f>-'Financing'!N12</f>
      </c>
      <c r="O13" s="4">
        <f>-'Financing'!O12</f>
      </c>
      <c r="P13" s="4">
        <f>-'Financing'!P12</f>
      </c>
      <c r="Q13" s="4">
        <f>-'Financing'!Q12</f>
      </c>
      <c r="R13" s="4">
        <f>-'Financing'!R12</f>
      </c>
      <c r="S13" s="4">
        <f>-'Financing'!S12</f>
      </c>
      <c r="T13" s="4">
        <f>-'Financing'!T12</f>
      </c>
      <c r="U13" s="4">
        <f>-'Financing'!U12</f>
      </c>
      <c r="V13" s="4">
        <f>-'Financing'!V12</f>
      </c>
      <c r="W13" s="4">
        <f>-'Financing'!W12</f>
      </c>
      <c r="X13" s="4">
        <f>-'Financing'!X12</f>
      </c>
      <c r="Y13" s="4">
        <f>-'Financing'!Y12</f>
      </c>
      <c r="Z13" s="4">
        <f>-'Financing'!Z12</f>
      </c>
      <c r="AA13" s="4">
        <f>-'Financing'!AA12</f>
      </c>
      <c r="AB13" s="4">
        <f>-'Financing'!AB12</f>
      </c>
      <c r="AC13" s="4">
        <f>-'Financing'!AC12</f>
      </c>
      <c r="AD13" s="4">
        <f>-'Financing'!AD12</f>
      </c>
      <c r="AE13" s="4">
        <f>-'Financing'!AE12</f>
      </c>
      <c r="AF13" s="4">
        <f>-'Financing'!AF12</f>
      </c>
      <c r="AG13" s="4">
        <f>-'Financing'!AG12</f>
      </c>
      <c r="AH13" s="4">
        <f>-'Financing'!AH12</f>
      </c>
      <c r="AI13" s="4">
        <f>-'Financing'!AI12</f>
      </c>
      <c r="AJ13" s="4">
        <f>-'Financing'!AJ12</f>
      </c>
      <c r="AK13" s="4">
        <f>-'Financing'!AK12</f>
      </c>
      <c r="AL13" s="4">
        <f>-'Financing'!AL12</f>
      </c>
      <c r="AM13" s="4">
        <f>-'Financing'!AM12</f>
      </c>
      <c r="AN13" s="4">
        <f>-'Financing'!AN12</f>
      </c>
      <c r="AO13" s="4">
        <f>-'Financing'!AO12</f>
      </c>
      <c r="AP13" s="4">
        <f>-'Financing'!AP12</f>
      </c>
      <c r="AQ13" s="4">
        <f>-'Financing'!AQ12</f>
      </c>
      <c r="AR13" s="4">
        <f>-'Financing'!AR12</f>
      </c>
    </row>
    <row r="14" spans="1:44" x14ac:dyDescent="0.25">
      <c r="A14" t="s">
        <v>216</v>
      </c>
      <c r="B14" s="4">
        <f>'Financing'!B15</f>
      </c>
      <c r="C14" s="4">
        <f>'Financing'!C15</f>
      </c>
      <c r="D14" s="4">
        <f>'Financing'!D15</f>
      </c>
      <c r="E14" s="4">
        <f>'Financing'!E15</f>
      </c>
      <c r="F14" s="4">
        <f>'Financing'!F15</f>
      </c>
      <c r="G14" s="4">
        <f>'Financing'!G15</f>
      </c>
      <c r="H14" s="4">
        <f>'Financing'!H15</f>
      </c>
      <c r="I14" s="4">
        <f>'Financing'!I15</f>
      </c>
      <c r="J14" s="4">
        <f>'Financing'!J15</f>
      </c>
      <c r="K14" s="4">
        <f>'Financing'!K15</f>
      </c>
      <c r="L14" s="4">
        <f>'Financing'!L15</f>
      </c>
      <c r="M14" s="4">
        <f>'Financing'!M15</f>
      </c>
      <c r="N14" s="4">
        <f>'Financing'!N15</f>
      </c>
      <c r="O14" s="4">
        <f>'Financing'!O15</f>
      </c>
      <c r="P14" s="4">
        <f>'Financing'!P15</f>
      </c>
      <c r="Q14" s="4">
        <f>'Financing'!Q15</f>
      </c>
      <c r="R14" s="4">
        <f>'Financing'!R15</f>
      </c>
      <c r="S14" s="4">
        <f>'Financing'!S15</f>
      </c>
      <c r="T14" s="4">
        <f>'Financing'!T15</f>
      </c>
      <c r="U14" s="4">
        <f>'Financing'!U15</f>
      </c>
      <c r="V14" s="4">
        <f>'Financing'!V15</f>
      </c>
      <c r="W14" s="4">
        <f>'Financing'!W15</f>
      </c>
      <c r="X14" s="4">
        <f>'Financing'!X15</f>
      </c>
      <c r="Y14" s="4">
        <f>'Financing'!Y15</f>
      </c>
      <c r="Z14" s="4">
        <f>'Financing'!Z15</f>
      </c>
      <c r="AA14" s="4">
        <f>'Financing'!AA15</f>
      </c>
      <c r="AB14" s="4">
        <f>'Financing'!AB15</f>
      </c>
      <c r="AC14" s="4">
        <f>'Financing'!AC15</f>
      </c>
      <c r="AD14" s="4">
        <f>'Financing'!AD15</f>
      </c>
      <c r="AE14" s="4">
        <f>'Financing'!AE15</f>
      </c>
      <c r="AF14" s="4">
        <f>'Financing'!AF15</f>
      </c>
      <c r="AG14" s="4">
        <f>'Financing'!AG15</f>
      </c>
      <c r="AH14" s="4">
        <f>'Financing'!AH15</f>
      </c>
      <c r="AI14" s="4">
        <f>'Financing'!AI15</f>
      </c>
      <c r="AJ14" s="4">
        <f>'Financing'!AJ15</f>
      </c>
      <c r="AK14" s="4">
        <f>'Financing'!AK15</f>
      </c>
      <c r="AL14" s="4">
        <f>'Financing'!AL15</f>
      </c>
      <c r="AM14" s="4">
        <f>'Financing'!AM15</f>
      </c>
      <c r="AN14" s="4">
        <f>'Financing'!AN15</f>
      </c>
      <c r="AO14" s="4">
        <f>'Financing'!AO15</f>
      </c>
      <c r="AP14" s="4">
        <f>'Financing'!AP15</f>
      </c>
      <c r="AQ14" s="4">
        <f>'Financing'!AQ15</f>
      </c>
      <c r="AR14" s="4">
        <f>'Financing'!AR15</f>
      </c>
    </row>
    <row r="15" spans="1:44" x14ac:dyDescent="0.25">
      <c r="A15" t="s">
        <v>217</v>
      </c>
      <c r="B15" s="4">
        <f>'Financing'!B16</f>
      </c>
      <c r="C15" s="4">
        <f>'Financing'!C16</f>
      </c>
      <c r="D15" s="4">
        <f>'Financing'!D16</f>
      </c>
      <c r="E15" s="4">
        <f>'Financing'!E16</f>
      </c>
      <c r="F15" s="4">
        <f>'Financing'!F16</f>
      </c>
      <c r="G15" s="4">
        <f>'Financing'!G16</f>
      </c>
      <c r="H15" s="4">
        <f>'Financing'!H16</f>
      </c>
      <c r="I15" s="4">
        <f>'Financing'!I16</f>
      </c>
      <c r="J15" s="4">
        <f>'Financing'!J16</f>
      </c>
      <c r="K15" s="4">
        <f>'Financing'!K16</f>
      </c>
      <c r="L15" s="4">
        <f>'Financing'!L16</f>
      </c>
      <c r="M15" s="4">
        <f>'Financing'!M16</f>
      </c>
      <c r="N15" s="4">
        <f>'Financing'!N16</f>
      </c>
      <c r="O15" s="4">
        <f>'Financing'!O16</f>
      </c>
      <c r="P15" s="4">
        <f>'Financing'!P16</f>
      </c>
      <c r="Q15" s="4">
        <f>'Financing'!Q16</f>
      </c>
      <c r="R15" s="4">
        <f>'Financing'!R16</f>
      </c>
      <c r="S15" s="4">
        <f>'Financing'!S16</f>
      </c>
      <c r="T15" s="4">
        <f>'Financing'!T16</f>
      </c>
      <c r="U15" s="4">
        <f>'Financing'!U16</f>
      </c>
      <c r="V15" s="4">
        <f>'Financing'!V16</f>
      </c>
      <c r="W15" s="4">
        <f>'Financing'!W16</f>
      </c>
      <c r="X15" s="4">
        <f>'Financing'!X16</f>
      </c>
      <c r="Y15" s="4">
        <f>'Financing'!Y16</f>
      </c>
      <c r="Z15" s="4">
        <f>'Financing'!Z16</f>
      </c>
      <c r="AA15" s="4">
        <f>'Financing'!AA16</f>
      </c>
      <c r="AB15" s="4">
        <f>'Financing'!AB16</f>
      </c>
      <c r="AC15" s="4">
        <f>'Financing'!AC16</f>
      </c>
      <c r="AD15" s="4">
        <f>'Financing'!AD16</f>
      </c>
      <c r="AE15" s="4">
        <f>'Financing'!AE16</f>
      </c>
      <c r="AF15" s="4">
        <f>'Financing'!AF16</f>
      </c>
      <c r="AG15" s="4">
        <f>'Financing'!AG16</f>
      </c>
      <c r="AH15" s="4">
        <f>'Financing'!AH16</f>
      </c>
      <c r="AI15" s="4">
        <f>'Financing'!AI16</f>
      </c>
      <c r="AJ15" s="4">
        <f>'Financing'!AJ16</f>
      </c>
      <c r="AK15" s="4">
        <f>'Financing'!AK16</f>
      </c>
      <c r="AL15" s="4">
        <f>'Financing'!AL16</f>
      </c>
      <c r="AM15" s="4">
        <f>'Financing'!AM16</f>
      </c>
      <c r="AN15" s="4">
        <f>'Financing'!AN16</f>
      </c>
      <c r="AO15" s="4">
        <f>'Financing'!AO16</f>
      </c>
      <c r="AP15" s="4">
        <f>'Financing'!AP16</f>
      </c>
      <c r="AQ15" s="4">
        <f>'Financing'!AQ16</f>
      </c>
      <c r="AR15" s="4">
        <f>'Financing'!AR16</f>
      </c>
    </row>
    <row r="16" spans="1:44" x14ac:dyDescent="0.25">
      <c r="A16" s="10" t="s">
        <v>218</v>
      </c>
      <c r="B16" s="11">
        <f>B12+B13+B14+B15</f>
      </c>
      <c r="C16" s="11">
        <f>C12+C13+C14+C15</f>
      </c>
      <c r="D16" s="11">
        <f>D12+D13+D14+D15</f>
      </c>
      <c r="E16" s="11">
        <f>E12+E13+E14+E15</f>
      </c>
      <c r="F16" s="11">
        <f>F12+F13+F14+F15</f>
      </c>
      <c r="G16" s="11">
        <f>G12+G13+G14+G15</f>
      </c>
      <c r="H16" s="11">
        <f>H12+H13+H14+H15</f>
      </c>
      <c r="I16" s="11">
        <f>I12+I13+I14+I15</f>
      </c>
      <c r="J16" s="11">
        <f>J12+J13+J14+J15</f>
      </c>
      <c r="K16" s="11">
        <f>K12+K13+K14+K15</f>
      </c>
      <c r="L16" s="11">
        <f>L12+L13+L14+L15</f>
      </c>
      <c r="M16" s="11">
        <f>M12+M13+M14+M15</f>
      </c>
      <c r="N16" s="11">
        <f>N12+N13+N14+N15</f>
      </c>
      <c r="O16" s="11">
        <f>O12+O13+O14+O15</f>
      </c>
      <c r="P16" s="11">
        <f>P12+P13+P14+P15</f>
      </c>
      <c r="Q16" s="11">
        <f>Q12+Q13+Q14+Q15</f>
      </c>
      <c r="R16" s="11">
        <f>R12+R13+R14+R15</f>
      </c>
      <c r="S16" s="11">
        <f>S12+S13+S14+S15</f>
      </c>
      <c r="T16" s="11">
        <f>T12+T13+T14+T15</f>
      </c>
      <c r="U16" s="11">
        <f>U12+U13+U14+U15</f>
      </c>
      <c r="V16" s="11">
        <f>V12+V13+V14+V15</f>
      </c>
      <c r="W16" s="11">
        <f>W12+W13+W14+W15</f>
      </c>
      <c r="X16" s="11">
        <f>X12+X13+X14+X15</f>
      </c>
      <c r="Y16" s="11">
        <f>Y12+Y13+Y14+Y15</f>
      </c>
      <c r="Z16" s="11">
        <f>Z12+Z13+Z14+Z15</f>
      </c>
      <c r="AA16" s="11">
        <f>AA12+AA13+AA14+AA15</f>
      </c>
      <c r="AB16" s="11">
        <f>AB12+AB13+AB14+AB15</f>
      </c>
      <c r="AC16" s="11">
        <f>AC12+AC13+AC14+AC15</f>
      </c>
      <c r="AD16" s="11">
        <f>AD12+AD13+AD14+AD15</f>
      </c>
      <c r="AE16" s="11">
        <f>AE12+AE13+AE14+AE15</f>
      </c>
      <c r="AF16" s="11">
        <f>AF12+AF13+AF14+AF15</f>
      </c>
      <c r="AG16" s="11">
        <f>AG12+AG13+AG14+AG15</f>
      </c>
      <c r="AH16" s="11">
        <f>AH12+AH13+AH14+AH15</f>
      </c>
      <c r="AI16" s="11">
        <f>AI12+AI13+AI14+AI15</f>
      </c>
      <c r="AJ16" s="11">
        <f>AJ12+AJ13+AJ14+AJ15</f>
      </c>
      <c r="AK16" s="11">
        <f>AK12+AK13+AK14+AK15</f>
      </c>
      <c r="AL16" s="11">
        <f>AL12+AL13+AL14+AL15</f>
      </c>
      <c r="AM16" s="11">
        <f>AM12+AM13+AM14+AM15</f>
      </c>
      <c r="AN16" s="11">
        <f>AN12+AN13+AN14+AN15</f>
      </c>
      <c r="AO16" s="11">
        <f>AO12+AO13+AO14+AO15</f>
      </c>
      <c r="AP16" s="11">
        <f>AP12+AP13+AP14+AP15</f>
      </c>
      <c r="AQ16" s="11">
        <f>AQ12+AQ13+AQ14+AQ15</f>
      </c>
      <c r="AR16" s="11">
        <f>AR12+AR13+AR14+AR15</f>
      </c>
    </row>
    <row r="17" spans="1:44" x14ac:dyDescent="0.25">
      <c r="A17" s="10" t="s">
        <v>219</v>
      </c>
      <c r="B17" s="11">
        <f>B10+B11+B16</f>
      </c>
      <c r="C17" s="11">
        <f>C10+C11+C16</f>
      </c>
      <c r="D17" s="11">
        <f>D10+D11+D16</f>
      </c>
      <c r="E17" s="11">
        <f>E10+E11+E16</f>
      </c>
      <c r="F17" s="11">
        <f>F10+F11+F16</f>
      </c>
      <c r="G17" s="11">
        <f>G10+G11+G16</f>
      </c>
      <c r="H17" s="11">
        <f>H10+H11+H16</f>
      </c>
      <c r="I17" s="11">
        <f>I10+I11+I16</f>
      </c>
      <c r="J17" s="11">
        <f>J10+J11+J16</f>
      </c>
      <c r="K17" s="11">
        <f>K10+K11+K16</f>
      </c>
      <c r="L17" s="11">
        <f>L10+L11+L16</f>
      </c>
      <c r="M17" s="11">
        <f>M10+M11+M16</f>
      </c>
      <c r="N17" s="11">
        <f>N10+N11+N16</f>
      </c>
      <c r="O17" s="11">
        <f>O10+O11+O16</f>
      </c>
      <c r="P17" s="11">
        <f>P10+P11+P16</f>
      </c>
      <c r="Q17" s="11">
        <f>Q10+Q11+Q16</f>
      </c>
      <c r="R17" s="11">
        <f>R10+R11+R16</f>
      </c>
      <c r="S17" s="11">
        <f>S10+S11+S16</f>
      </c>
      <c r="T17" s="11">
        <f>T10+T11+T16</f>
      </c>
      <c r="U17" s="11">
        <f>U10+U11+U16</f>
      </c>
      <c r="V17" s="11">
        <f>V10+V11+V16</f>
      </c>
      <c r="W17" s="11">
        <f>W10+W11+W16</f>
      </c>
      <c r="X17" s="11">
        <f>X10+X11+X16</f>
      </c>
      <c r="Y17" s="11">
        <f>Y10+Y11+Y16</f>
      </c>
      <c r="Z17" s="11">
        <f>Z10+Z11+Z16</f>
      </c>
      <c r="AA17" s="11">
        <f>AA10+AA11+AA16</f>
      </c>
      <c r="AB17" s="11">
        <f>AB10+AB11+AB16</f>
      </c>
      <c r="AC17" s="11">
        <f>AC10+AC11+AC16</f>
      </c>
      <c r="AD17" s="11">
        <f>AD10+AD11+AD16</f>
      </c>
      <c r="AE17" s="11">
        <f>AE10+AE11+AE16</f>
      </c>
      <c r="AF17" s="11">
        <f>AF10+AF11+AF16</f>
      </c>
      <c r="AG17" s="11">
        <f>AG10+AG11+AG16</f>
      </c>
      <c r="AH17" s="11">
        <f>AH10+AH11+AH16</f>
      </c>
      <c r="AI17" s="11">
        <f>AI10+AI11+AI16</f>
      </c>
      <c r="AJ17" s="11">
        <f>AJ10+AJ11+AJ16</f>
      </c>
      <c r="AK17" s="11">
        <f>AK10+AK11+AK16</f>
      </c>
      <c r="AL17" s="11">
        <f>AL10+AL11+AL16</f>
      </c>
      <c r="AM17" s="11">
        <f>AM10+AM11+AM16</f>
      </c>
      <c r="AN17" s="11">
        <f>AN10+AN11+AN16</f>
      </c>
      <c r="AO17" s="11">
        <f>AO10+AO11+AO16</f>
      </c>
      <c r="AP17" s="11">
        <f>AP10+AP11+AP16</f>
      </c>
      <c r="AQ17" s="11">
        <f>AQ10+AQ11+AQ16</f>
      </c>
      <c r="AR17" s="11">
        <f>AR10+AR11+AR16</f>
      </c>
    </row>
    <row r="18" spans="1:44" x14ac:dyDescent="0.25">
      <c r="A18" t="s">
        <v>12</v>
      </c>
      <c r="B18" s="4">
        <f>'Parameters'!$B$12</f>
      </c>
      <c r="C18" s="4">
        <f>B19</f>
      </c>
      <c r="D18" s="4">
        <f>C19</f>
      </c>
      <c r="E18" s="4">
        <f>D19</f>
      </c>
      <c r="F18" s="4">
        <f>E19</f>
      </c>
      <c r="G18" s="4">
        <f>F19</f>
      </c>
      <c r="H18" s="4">
        <f>G19</f>
      </c>
      <c r="I18" s="4">
        <f>H19</f>
      </c>
      <c r="J18" s="4">
        <f>I19</f>
      </c>
      <c r="K18" s="4">
        <f>J19</f>
      </c>
      <c r="L18" s="4">
        <f>K19</f>
      </c>
      <c r="M18" s="4">
        <f>L19</f>
      </c>
      <c r="N18" s="4">
        <f>M19</f>
      </c>
      <c r="O18" s="4">
        <f>N19</f>
      </c>
      <c r="P18" s="4">
        <f>O19</f>
      </c>
      <c r="Q18" s="4">
        <f>P19</f>
      </c>
      <c r="R18" s="4">
        <f>Q19</f>
      </c>
      <c r="S18" s="4">
        <f>R19</f>
      </c>
      <c r="T18" s="4">
        <f>S19</f>
      </c>
      <c r="U18" s="4">
        <f>T19</f>
      </c>
      <c r="V18" s="4">
        <f>U19</f>
      </c>
      <c r="W18" s="4">
        <f>V19</f>
      </c>
      <c r="X18" s="4">
        <f>W19</f>
      </c>
      <c r="Y18" s="4">
        <f>X19</f>
      </c>
      <c r="Z18" s="4">
        <f>Y19</f>
      </c>
      <c r="AA18" s="4">
        <f>Z19</f>
      </c>
      <c r="AB18" s="4">
        <f>AA19</f>
      </c>
      <c r="AC18" s="4">
        <f>AB19</f>
      </c>
      <c r="AD18" s="4">
        <f>AC19</f>
      </c>
      <c r="AE18" s="4">
        <f>AD19</f>
      </c>
      <c r="AF18" s="4">
        <f>AE19</f>
      </c>
      <c r="AG18" s="4">
        <f>AF19</f>
      </c>
      <c r="AH18" s="4">
        <f>AG19</f>
      </c>
      <c r="AI18" s="4">
        <f>AH19</f>
      </c>
      <c r="AJ18" s="4">
        <f>AI19</f>
      </c>
      <c r="AK18" s="4">
        <f>AJ19</f>
      </c>
      <c r="AL18" s="4">
        <f>AK19</f>
      </c>
      <c r="AM18" s="4">
        <f>AL19</f>
      </c>
      <c r="AN18" s="4">
        <f>AM19</f>
      </c>
      <c r="AO18" s="4">
        <f>AN19</f>
      </c>
      <c r="AP18" s="4">
        <f>AO19</f>
      </c>
      <c r="AQ18" s="4">
        <f>AP19</f>
      </c>
      <c r="AR18" s="4">
        <f>AQ19</f>
      </c>
    </row>
    <row r="19" spans="1:44" x14ac:dyDescent="0.25">
      <c r="A19" s="10" t="s">
        <v>220</v>
      </c>
      <c r="B19" s="11">
        <f>B18+B17</f>
      </c>
      <c r="C19" s="11">
        <f>C18+C17</f>
      </c>
      <c r="D19" s="11">
        <f>D18+D17</f>
      </c>
      <c r="E19" s="11">
        <f>E18+E17</f>
      </c>
      <c r="F19" s="11">
        <f>F18+F17</f>
      </c>
      <c r="G19" s="11">
        <f>G18+G17</f>
      </c>
      <c r="H19" s="11">
        <f>H18+H17</f>
      </c>
      <c r="I19" s="11">
        <f>I18+I17</f>
      </c>
      <c r="J19" s="11">
        <f>J18+J17</f>
      </c>
      <c r="K19" s="11">
        <f>K18+K17</f>
      </c>
      <c r="L19" s="11">
        <f>L18+L17</f>
      </c>
      <c r="M19" s="11">
        <f>M18+M17</f>
      </c>
      <c r="N19" s="11">
        <f>N18+N17</f>
      </c>
      <c r="O19" s="11">
        <f>O18+O17</f>
      </c>
      <c r="P19" s="11">
        <f>P18+P17</f>
      </c>
      <c r="Q19" s="11">
        <f>Q18+Q17</f>
      </c>
      <c r="R19" s="11">
        <f>R18+R17</f>
      </c>
      <c r="S19" s="11">
        <f>S18+S17</f>
      </c>
      <c r="T19" s="11">
        <f>T18+T17</f>
      </c>
      <c r="U19" s="11">
        <f>U18+U17</f>
      </c>
      <c r="V19" s="11">
        <f>V18+V17</f>
      </c>
      <c r="W19" s="11">
        <f>W18+W17</f>
      </c>
      <c r="X19" s="11">
        <f>X18+X17</f>
      </c>
      <c r="Y19" s="11">
        <f>Y18+Y17</f>
      </c>
      <c r="Z19" s="11">
        <f>Z18+Z17</f>
      </c>
      <c r="AA19" s="11">
        <f>AA18+AA17</f>
      </c>
      <c r="AB19" s="11">
        <f>AB18+AB17</f>
      </c>
      <c r="AC19" s="11">
        <f>AC18+AC17</f>
      </c>
      <c r="AD19" s="11">
        <f>AD18+AD17</f>
      </c>
      <c r="AE19" s="11">
        <f>AE18+AE17</f>
      </c>
      <c r="AF19" s="11">
        <f>AF18+AF17</f>
      </c>
      <c r="AG19" s="11">
        <f>AG18+AG17</f>
      </c>
      <c r="AH19" s="11">
        <f>AH18+AH17</f>
      </c>
      <c r="AI19" s="11">
        <f>AI18+AI17</f>
      </c>
      <c r="AJ19" s="11">
        <f>AJ18+AJ17</f>
      </c>
      <c r="AK19" s="11">
        <f>AK18+AK17</f>
      </c>
      <c r="AL19" s="11">
        <f>AL18+AL17</f>
      </c>
      <c r="AM19" s="11">
        <f>AM18+AM17</f>
      </c>
      <c r="AN19" s="11">
        <f>AN18+AN17</f>
      </c>
      <c r="AO19" s="11">
        <f>AO18+AO17</f>
      </c>
      <c r="AP19" s="11">
        <f>AP18+AP17</f>
      </c>
      <c r="AQ19" s="11">
        <f>AQ18+AQ17</f>
      </c>
      <c r="AR19" s="11">
        <f>AR18+AR17</f>
      </c>
    </row>
    <row r="21" spans="1:44" x14ac:dyDescent="0.25">
      <c r="A21" t="s">
        <v>221</v>
      </c>
      <c r="B21" s="4">
        <f>'P&amp;L'!B18+'P&amp;L'!B20</f>
      </c>
      <c r="C21" s="4">
        <f>'P&amp;L'!C18+'P&amp;L'!C20</f>
      </c>
      <c r="D21" s="4">
        <f>'P&amp;L'!D18+'P&amp;L'!D20</f>
      </c>
      <c r="E21" s="4">
        <f>'P&amp;L'!E18+'P&amp;L'!E20</f>
      </c>
      <c r="F21" s="4">
        <f>'P&amp;L'!F18+'P&amp;L'!F20</f>
      </c>
      <c r="G21" s="4">
        <f>'P&amp;L'!G18+'P&amp;L'!G20</f>
      </c>
      <c r="H21" s="4">
        <f>'P&amp;L'!H18+'P&amp;L'!H20</f>
      </c>
      <c r="I21" s="4">
        <f>'P&amp;L'!I18+'P&amp;L'!I20</f>
      </c>
      <c r="J21" s="4">
        <f>'P&amp;L'!J18+'P&amp;L'!J20</f>
      </c>
      <c r="K21" s="4">
        <f>'P&amp;L'!K18+'P&amp;L'!K20</f>
      </c>
      <c r="L21" s="4">
        <f>'P&amp;L'!L18+'P&amp;L'!L20</f>
      </c>
      <c r="M21" s="4">
        <f>'P&amp;L'!M18+'P&amp;L'!M20</f>
      </c>
      <c r="N21" s="4">
        <f>'P&amp;L'!N18+'P&amp;L'!N20</f>
      </c>
      <c r="O21" s="4">
        <f>'P&amp;L'!O18+'P&amp;L'!O20</f>
      </c>
      <c r="P21" s="4">
        <f>'P&amp;L'!P18+'P&amp;L'!P20</f>
      </c>
      <c r="Q21" s="4">
        <f>'P&amp;L'!Q18+'P&amp;L'!Q20</f>
      </c>
      <c r="R21" s="4">
        <f>'P&amp;L'!R18+'P&amp;L'!R20</f>
      </c>
      <c r="S21" s="4">
        <f>'P&amp;L'!S18+'P&amp;L'!S20</f>
      </c>
      <c r="T21" s="4">
        <f>'P&amp;L'!T18+'P&amp;L'!T20</f>
      </c>
      <c r="U21" s="4">
        <f>'P&amp;L'!U18+'P&amp;L'!U20</f>
      </c>
      <c r="V21" s="4">
        <f>'P&amp;L'!V18+'P&amp;L'!V20</f>
      </c>
      <c r="W21" s="4">
        <f>'P&amp;L'!W18+'P&amp;L'!W20</f>
      </c>
      <c r="X21" s="4">
        <f>'P&amp;L'!X18+'P&amp;L'!X20</f>
      </c>
      <c r="Y21" s="4">
        <f>'P&amp;L'!Y18+'P&amp;L'!Y20</f>
      </c>
      <c r="Z21" s="4">
        <f>'P&amp;L'!Z18+'P&amp;L'!Z20</f>
      </c>
      <c r="AA21" s="4">
        <f>'P&amp;L'!AA18+'P&amp;L'!AA20</f>
      </c>
      <c r="AB21" s="4">
        <f>'P&amp;L'!AB18+'P&amp;L'!AB20</f>
      </c>
      <c r="AC21" s="4">
        <f>'P&amp;L'!AC18+'P&amp;L'!AC20</f>
      </c>
      <c r="AD21" s="4">
        <f>'P&amp;L'!AD18+'P&amp;L'!AD20</f>
      </c>
      <c r="AE21" s="4">
        <f>'P&amp;L'!AE18+'P&amp;L'!AE20</f>
      </c>
      <c r="AF21" s="4">
        <f>'P&amp;L'!AF18+'P&amp;L'!AF20</f>
      </c>
      <c r="AG21" s="4">
        <f>'P&amp;L'!AG18+'P&amp;L'!AG20</f>
      </c>
      <c r="AH21" s="4">
        <f>'P&amp;L'!AH18+'P&amp;L'!AH20</f>
      </c>
      <c r="AI21" s="4">
        <f>'P&amp;L'!AI18+'P&amp;L'!AI20</f>
      </c>
      <c r="AJ21" s="4">
        <f>'P&amp;L'!AJ18+'P&amp;L'!AJ20</f>
      </c>
      <c r="AK21" s="4">
        <f>'P&amp;L'!AK18+'P&amp;L'!AK20</f>
      </c>
      <c r="AL21" s="4">
        <f>'P&amp;L'!AL18+'P&amp;L'!AL20</f>
      </c>
      <c r="AM21" s="4">
        <f>'P&amp;L'!AM18+'P&amp;L'!AM20</f>
      </c>
      <c r="AN21" s="4">
        <f>'P&amp;L'!AN18+'P&amp;L'!AN20</f>
      </c>
      <c r="AO21" s="4">
        <f>'P&amp;L'!AO18+'P&amp;L'!AO20</f>
      </c>
      <c r="AP21" s="4">
        <f>'P&amp;L'!AP18+'P&amp;L'!AP20</f>
      </c>
      <c r="AQ21" s="4">
        <f>'P&amp;L'!AQ18+'P&amp;L'!AQ20</f>
      </c>
      <c r="AR21" s="4">
        <f>'P&amp;L'!AR18+'P&amp;L'!AR20</f>
      </c>
    </row>
    <row r="22" spans="1:44" x14ac:dyDescent="0.25">
      <c r="A22" t="s">
        <v>222</v>
      </c>
      <c r="B22" s="4">
        <f>MAX(0,0-B21)</f>
      </c>
      <c r="C22" s="4">
        <f>MAX(0,B22-C21)</f>
      </c>
      <c r="D22" s="4">
        <f>MAX(0,C22-D21)</f>
      </c>
      <c r="E22" s="4">
        <f>MAX(0,D22-E21)</f>
      </c>
      <c r="F22" s="4">
        <f>MAX(0,E22-F21)</f>
      </c>
      <c r="G22" s="4">
        <f>MAX(0,F22-G21)</f>
      </c>
      <c r="H22" s="4">
        <f>MAX(0,G22-H21)</f>
      </c>
      <c r="I22" s="4">
        <f>MAX(0,H22-I21)</f>
      </c>
      <c r="J22" s="4">
        <f>MAX(0,I22-J21)</f>
      </c>
      <c r="K22" s="4">
        <f>MAX(0,J22-K21)</f>
      </c>
      <c r="L22" s="4">
        <f>MAX(0,K22-L21)</f>
      </c>
      <c r="M22" s="4">
        <f>MAX(0,L22-M21)</f>
      </c>
      <c r="N22" s="4">
        <f>MAX(0,M22-N21)</f>
      </c>
      <c r="O22" s="4">
        <f>MAX(0,N22-O21)</f>
      </c>
      <c r="P22" s="4">
        <f>MAX(0,O22-P21)</f>
      </c>
      <c r="Q22" s="4">
        <f>MAX(0,P22-Q21)</f>
      </c>
      <c r="R22" s="4">
        <f>MAX(0,Q22-R21)</f>
      </c>
      <c r="S22" s="4">
        <f>MAX(0,R22-S21)</f>
      </c>
      <c r="T22" s="4">
        <f>MAX(0,S22-T21)</f>
      </c>
      <c r="U22" s="4">
        <f>MAX(0,T22-U21)</f>
      </c>
      <c r="V22" s="4">
        <f>MAX(0,U22-V21)</f>
      </c>
      <c r="W22" s="4">
        <f>MAX(0,V22-W21)</f>
      </c>
      <c r="X22" s="4">
        <f>MAX(0,W22-X21)</f>
      </c>
      <c r="Y22" s="4">
        <f>MAX(0,X22-Y21)</f>
      </c>
      <c r="Z22" s="4">
        <f>MAX(0,Y22-Z21)</f>
      </c>
      <c r="AA22" s="4">
        <f>MAX(0,Z22-AA21)</f>
      </c>
      <c r="AB22" s="4">
        <f>MAX(0,AA22-AB21)</f>
      </c>
      <c r="AC22" s="4">
        <f>MAX(0,AB22-AC21)</f>
      </c>
      <c r="AD22" s="4">
        <f>MAX(0,AC22-AD21)</f>
      </c>
      <c r="AE22" s="4">
        <f>MAX(0,AD22-AE21)</f>
      </c>
      <c r="AF22" s="4">
        <f>MAX(0,AE22-AF21)</f>
      </c>
      <c r="AG22" s="4">
        <f>MAX(0,AF22-AG21)</f>
      </c>
      <c r="AH22" s="4">
        <f>MAX(0,AG22-AH21)</f>
      </c>
      <c r="AI22" s="4">
        <f>MAX(0,AH22-AI21)</f>
      </c>
      <c r="AJ22" s="4">
        <f>MAX(0,AI22-AJ21)</f>
      </c>
      <c r="AK22" s="4">
        <f>MAX(0,AJ22-AK21)</f>
      </c>
      <c r="AL22" s="4">
        <f>MAX(0,AK22-AL21)</f>
      </c>
      <c r="AM22" s="4">
        <f>MAX(0,AL22-AM21)</f>
      </c>
      <c r="AN22" s="4">
        <f>MAX(0,AM22-AN21)</f>
      </c>
      <c r="AO22" s="4">
        <f>MAX(0,AN22-AO21)</f>
      </c>
      <c r="AP22" s="4">
        <f>MAX(0,AO22-AP21)</f>
      </c>
      <c r="AQ22" s="4">
        <f>MAX(0,AP22-AQ21)</f>
      </c>
      <c r="AR22" s="4">
        <f>MAX(0,AQ22-AR21)</f>
      </c>
    </row>
    <row r="23" spans="1:44" x14ac:dyDescent="0.25">
      <c r="A23" t="s">
        <v>223</v>
      </c>
      <c r="B23" s="4">
        <f>MAX(0,B21-0)*'Parameters'!$B$6</f>
      </c>
      <c r="C23" s="4">
        <f>MAX(0,C21-B22)*'Parameters'!$B$6</f>
      </c>
      <c r="D23" s="4">
        <f>MAX(0,D21-C22)*'Parameters'!$B$6</f>
      </c>
      <c r="E23" s="4">
        <f>MAX(0,E21-D22)*'Parameters'!$B$6</f>
      </c>
      <c r="F23" s="4">
        <f>MAX(0,F21-E22)*'Parameters'!$B$6</f>
      </c>
      <c r="G23" s="4">
        <f>MAX(0,G21-F22)*'Parameters'!$B$6</f>
      </c>
      <c r="H23" s="4">
        <f>MAX(0,H21-G22)*'Parameters'!$B$6</f>
      </c>
      <c r="I23" s="4">
        <f>MAX(0,I21-H22)*'Parameters'!$B$6</f>
      </c>
      <c r="J23" s="4">
        <f>MAX(0,J21-I22)*'Parameters'!$B$6</f>
      </c>
      <c r="K23" s="4">
        <f>MAX(0,K21-J22)*'Parameters'!$B$6</f>
      </c>
      <c r="L23" s="4">
        <f>MAX(0,L21-K22)*'Parameters'!$B$6</f>
      </c>
      <c r="M23" s="4">
        <f>MAX(0,M21-L22)*'Parameters'!$B$6</f>
      </c>
      <c r="N23" s="4">
        <f>MAX(0,N21-M22)*'Parameters'!$B$6</f>
      </c>
      <c r="O23" s="4">
        <f>MAX(0,O21-N22)*'Parameters'!$B$6</f>
      </c>
      <c r="P23" s="4">
        <f>MAX(0,P21-O22)*'Parameters'!$B$6</f>
      </c>
      <c r="Q23" s="4">
        <f>MAX(0,Q21-P22)*'Parameters'!$B$6</f>
      </c>
      <c r="R23" s="4">
        <f>MAX(0,R21-Q22)*'Parameters'!$B$6</f>
      </c>
      <c r="S23" s="4">
        <f>MAX(0,S21-R22)*'Parameters'!$B$6</f>
      </c>
      <c r="T23" s="4">
        <f>MAX(0,T21-S22)*'Parameters'!$B$6</f>
      </c>
      <c r="U23" s="4">
        <f>MAX(0,U21-T22)*'Parameters'!$B$6</f>
      </c>
      <c r="V23" s="4">
        <f>MAX(0,V21-U22)*'Parameters'!$B$6</f>
      </c>
      <c r="W23" s="4">
        <f>MAX(0,W21-V22)*'Parameters'!$B$6</f>
      </c>
      <c r="X23" s="4">
        <f>MAX(0,X21-W22)*'Parameters'!$B$6</f>
      </c>
      <c r="Y23" s="4">
        <f>MAX(0,Y21-X22)*'Parameters'!$B$6</f>
      </c>
      <c r="Z23" s="4">
        <f>MAX(0,Z21-Y22)*'Parameters'!$B$6</f>
      </c>
      <c r="AA23" s="4">
        <f>MAX(0,AA21-Z22)*'Parameters'!$B$6</f>
      </c>
      <c r="AB23" s="4">
        <f>MAX(0,AB21-AA22)*'Parameters'!$B$6</f>
      </c>
      <c r="AC23" s="4">
        <f>MAX(0,AC21-AB22)*'Parameters'!$B$6</f>
      </c>
      <c r="AD23" s="4">
        <f>MAX(0,AD21-AC22)*'Parameters'!$B$6</f>
      </c>
      <c r="AE23" s="4">
        <f>MAX(0,AE21-AD22)*'Parameters'!$B$6</f>
      </c>
      <c r="AF23" s="4">
        <f>MAX(0,AF21-AE22)*'Parameters'!$B$6</f>
      </c>
      <c r="AG23" s="4">
        <f>MAX(0,AG21-AF22)*'Parameters'!$B$6</f>
      </c>
      <c r="AH23" s="4">
        <f>MAX(0,AH21-AG22)*'Parameters'!$B$6</f>
      </c>
      <c r="AI23" s="4">
        <f>MAX(0,AI21-AH22)*'Parameters'!$B$6</f>
      </c>
      <c r="AJ23" s="4">
        <f>MAX(0,AJ21-AI22)*'Parameters'!$B$6</f>
      </c>
      <c r="AK23" s="4">
        <f>MAX(0,AK21-AJ22)*'Parameters'!$B$6</f>
      </c>
      <c r="AL23" s="4">
        <f>MAX(0,AL21-AK22)*'Parameters'!$B$6</f>
      </c>
      <c r="AM23" s="4">
        <f>MAX(0,AM21-AL22)*'Parameters'!$B$6</f>
      </c>
      <c r="AN23" s="4">
        <f>MAX(0,AN21-AM22)*'Parameters'!$B$6</f>
      </c>
      <c r="AO23" s="4">
        <f>MAX(0,AO21-AN22)*'Parameters'!$B$6</f>
      </c>
      <c r="AP23" s="4">
        <f>MAX(0,AP21-AO22)*'Parameters'!$B$6</f>
      </c>
      <c r="AQ23" s="4">
        <f>MAX(0,AQ21-AP22)*'Parameters'!$B$6</f>
      </c>
      <c r="AR23" s="4">
        <f>MAX(0,AR21-AQ22)*'Parameters'!$B$6</f>
      </c>
    </row>
    <row r="24" spans="1:44" x14ac:dyDescent="0.25">
      <c r="A24" t="s">
        <v>224</v>
      </c>
      <c r="B24" s="4">
        <f>'P&amp;L'!B16+'P&amp;L'!B20-B23-'CAPEX'!B39+B7+B8+B9</f>
      </c>
      <c r="C24" s="4">
        <f>'P&amp;L'!C16+'P&amp;L'!C20-C23-'CAPEX'!C39+C7+C8+C9</f>
      </c>
      <c r="D24" s="4">
        <f>'P&amp;L'!D16+'P&amp;L'!D20-D23-'CAPEX'!D39+D7+D8+D9</f>
      </c>
      <c r="E24" s="4">
        <f>'P&amp;L'!E16+'P&amp;L'!E20-E23-'CAPEX'!E39+E7+E8+E9</f>
      </c>
      <c r="F24" s="4">
        <f>'P&amp;L'!F16+'P&amp;L'!F20-F23-'CAPEX'!F39+F7+F8+F9</f>
      </c>
      <c r="G24" s="4">
        <f>'P&amp;L'!G16+'P&amp;L'!G20-G23-'CAPEX'!G39+G7+G8+G9</f>
      </c>
      <c r="H24" s="4">
        <f>'P&amp;L'!H16+'P&amp;L'!H20-H23-'CAPEX'!H39+H7+H8+H9</f>
      </c>
      <c r="I24" s="4">
        <f>'P&amp;L'!I16+'P&amp;L'!I20-I23-'CAPEX'!I39+I7+I8+I9</f>
      </c>
      <c r="J24" s="4">
        <f>'P&amp;L'!J16+'P&amp;L'!J20-J23-'CAPEX'!J39+J7+J8+J9</f>
      </c>
      <c r="K24" s="4">
        <f>'P&amp;L'!K16+'P&amp;L'!K20-K23-'CAPEX'!K39+K7+K8+K9</f>
      </c>
      <c r="L24" s="4">
        <f>'P&amp;L'!L16+'P&amp;L'!L20-L23-'CAPEX'!L39+L7+L8+L9</f>
      </c>
      <c r="M24" s="4">
        <f>'P&amp;L'!M16+'P&amp;L'!M20-M23-'CAPEX'!M39+M7+M8+M9</f>
      </c>
      <c r="N24" s="4">
        <f>'P&amp;L'!N16+'P&amp;L'!N20-N23-'CAPEX'!N39+N7+N8+N9</f>
      </c>
      <c r="O24" s="4">
        <f>'P&amp;L'!O16+'P&amp;L'!O20-O23-'CAPEX'!O39+O7+O8+O9</f>
      </c>
      <c r="P24" s="4">
        <f>'P&amp;L'!P16+'P&amp;L'!P20-P23-'CAPEX'!P39+P7+P8+P9</f>
      </c>
      <c r="Q24" s="4">
        <f>'P&amp;L'!Q16+'P&amp;L'!Q20-Q23-'CAPEX'!Q39+Q7+Q8+Q9</f>
      </c>
      <c r="R24" s="4">
        <f>'P&amp;L'!R16+'P&amp;L'!R20-R23-'CAPEX'!R39+R7+R8+R9</f>
      </c>
      <c r="S24" s="4">
        <f>'P&amp;L'!S16+'P&amp;L'!S20-S23-'CAPEX'!S39+S7+S8+S9</f>
      </c>
      <c r="T24" s="4">
        <f>'P&amp;L'!T16+'P&amp;L'!T20-T23-'CAPEX'!T39+T7+T8+T9</f>
      </c>
      <c r="U24" s="4">
        <f>'P&amp;L'!U16+'P&amp;L'!U20-U23-'CAPEX'!U39+U7+U8+U9</f>
      </c>
      <c r="V24" s="4">
        <f>'P&amp;L'!V16+'P&amp;L'!V20-V23-'CAPEX'!V39+V7+V8+V9</f>
      </c>
      <c r="W24" s="4">
        <f>'P&amp;L'!W16+'P&amp;L'!W20-W23-'CAPEX'!W39+W7+W8+W9</f>
      </c>
      <c r="X24" s="4">
        <f>'P&amp;L'!X16+'P&amp;L'!X20-X23-'CAPEX'!X39+X7+X8+X9</f>
      </c>
      <c r="Y24" s="4">
        <f>'P&amp;L'!Y16+'P&amp;L'!Y20-Y23-'CAPEX'!Y39+Y7+Y8+Y9</f>
      </c>
      <c r="Z24" s="4">
        <f>'P&amp;L'!Z16+'P&amp;L'!Z20-Z23-'CAPEX'!Z39+Z7+Z8+Z9</f>
      </c>
      <c r="AA24" s="4">
        <f>'P&amp;L'!AA16+'P&amp;L'!AA20-AA23-'CAPEX'!AA39+AA7+AA8+AA9</f>
      </c>
      <c r="AB24" s="4">
        <f>'P&amp;L'!AB16+'P&amp;L'!AB20-AB23-'CAPEX'!AB39+AB7+AB8+AB9</f>
      </c>
      <c r="AC24" s="4">
        <f>'P&amp;L'!AC16+'P&amp;L'!AC20-AC23-'CAPEX'!AC39+AC7+AC8+AC9</f>
      </c>
      <c r="AD24" s="4">
        <f>'P&amp;L'!AD16+'P&amp;L'!AD20-AD23-'CAPEX'!AD39+AD7+AD8+AD9</f>
      </c>
      <c r="AE24" s="4">
        <f>'P&amp;L'!AE16+'P&amp;L'!AE20-AE23-'CAPEX'!AE39+AE7+AE8+AE9</f>
      </c>
      <c r="AF24" s="4">
        <f>'P&amp;L'!AF16+'P&amp;L'!AF20-AF23-'CAPEX'!AF39+AF7+AF8+AF9</f>
      </c>
      <c r="AG24" s="4">
        <f>'P&amp;L'!AG16+'P&amp;L'!AG20-AG23-'CAPEX'!AG39+AG7+AG8+AG9</f>
      </c>
      <c r="AH24" s="4">
        <f>'P&amp;L'!AH16+'P&amp;L'!AH20-AH23-'CAPEX'!AH39+AH7+AH8+AH9</f>
      </c>
      <c r="AI24" s="4">
        <f>'P&amp;L'!AI16+'P&amp;L'!AI20-AI23-'CAPEX'!AI39+AI7+AI8+AI9</f>
      </c>
      <c r="AJ24" s="4">
        <f>'P&amp;L'!AJ16+'P&amp;L'!AJ20-AJ23-'CAPEX'!AJ39+AJ7+AJ8+AJ9</f>
      </c>
      <c r="AK24" s="4">
        <f>'P&amp;L'!AK16+'P&amp;L'!AK20-AK23-'CAPEX'!AK39+AK7+AK8+AK9</f>
      </c>
      <c r="AL24" s="4">
        <f>'P&amp;L'!AL16+'P&amp;L'!AL20-AL23-'CAPEX'!AL39+AL7+AL8+AL9</f>
      </c>
      <c r="AM24" s="4">
        <f>'P&amp;L'!AM16+'P&amp;L'!AM20-AM23-'CAPEX'!AM39+AM7+AM8+AM9</f>
      </c>
      <c r="AN24" s="4">
        <f>'P&amp;L'!AN16+'P&amp;L'!AN20-AN23-'CAPEX'!AN39+AN7+AN8+AN9</f>
      </c>
      <c r="AO24" s="4">
        <f>'P&amp;L'!AO16+'P&amp;L'!AO20-AO23-'CAPEX'!AO39+AO7+AO8+AO9</f>
      </c>
      <c r="AP24" s="4">
        <f>'P&amp;L'!AP16+'P&amp;L'!AP20-AP23-'CAPEX'!AP39+AP7+AP8+AP9</f>
      </c>
      <c r="AQ24" s="4">
        <f>'P&amp;L'!AQ16+'P&amp;L'!AQ20-AQ23-'CAPEX'!AQ39+AQ7+AQ8+AQ9</f>
      </c>
      <c r="AR24" s="4">
        <f>'P&amp;L'!AR16+'P&amp;L'!AR20-AR23-'CAPEX'!AR39+AR7+AR8+AR9</f>
      </c>
    </row>
    <row r="25" spans="1:44" x14ac:dyDescent="0.25">
      <c r="A25" t="s">
        <v>225</v>
      </c>
      <c r="B25" s="4">
        <f>B10+B11+'Financing'!B11-'Financing'!B12+'Financing'!B16</f>
      </c>
      <c r="C25" s="4">
        <f>C10+C11+'Financing'!C11-'Financing'!C12+'Financing'!C16</f>
      </c>
      <c r="D25" s="4">
        <f>D10+D11+'Financing'!D11-'Financing'!D12+'Financing'!D16</f>
      </c>
      <c r="E25" s="4">
        <f>E10+E11+'Financing'!E11-'Financing'!E12+'Financing'!E16</f>
      </c>
      <c r="F25" s="4">
        <f>F10+F11+'Financing'!F11-'Financing'!F12+'Financing'!F16</f>
      </c>
      <c r="G25" s="4">
        <f>G10+G11+'Financing'!G11-'Financing'!G12+'Financing'!G16</f>
      </c>
      <c r="H25" s="4">
        <f>H10+H11+'Financing'!H11-'Financing'!H12+'Financing'!H16</f>
      </c>
      <c r="I25" s="4">
        <f>I10+I11+'Financing'!I11-'Financing'!I12+'Financing'!I16</f>
      </c>
      <c r="J25" s="4">
        <f>J10+J11+'Financing'!J11-'Financing'!J12+'Financing'!J16</f>
      </c>
      <c r="K25" s="4">
        <f>K10+K11+'Financing'!K11-'Financing'!K12+'Financing'!K16</f>
      </c>
      <c r="L25" s="4">
        <f>L10+L11+'Financing'!L11-'Financing'!L12+'Financing'!L16</f>
      </c>
      <c r="M25" s="4">
        <f>M10+M11+'Financing'!M11-'Financing'!M12+'Financing'!M16</f>
      </c>
      <c r="N25" s="4">
        <f>N10+N11+'Financing'!N11-'Financing'!N12+'Financing'!N16</f>
      </c>
      <c r="O25" s="4">
        <f>O10+O11+'Financing'!O11-'Financing'!O12+'Financing'!O16</f>
      </c>
      <c r="P25" s="4">
        <f>P10+P11+'Financing'!P11-'Financing'!P12+'Financing'!P16</f>
      </c>
      <c r="Q25" s="4">
        <f>Q10+Q11+'Financing'!Q11-'Financing'!Q12+'Financing'!Q16</f>
      </c>
      <c r="R25" s="4">
        <f>R10+R11+'Financing'!R11-'Financing'!R12+'Financing'!R16</f>
      </c>
      <c r="S25" s="4">
        <f>S10+S11+'Financing'!S11-'Financing'!S12+'Financing'!S16</f>
      </c>
      <c r="T25" s="4">
        <f>T10+T11+'Financing'!T11-'Financing'!T12+'Financing'!T16</f>
      </c>
      <c r="U25" s="4">
        <f>U10+U11+'Financing'!U11-'Financing'!U12+'Financing'!U16</f>
      </c>
      <c r="V25" s="4">
        <f>V10+V11+'Financing'!V11-'Financing'!V12+'Financing'!V16</f>
      </c>
      <c r="W25" s="4">
        <f>W10+W11+'Financing'!W11-'Financing'!W12+'Financing'!W16</f>
      </c>
      <c r="X25" s="4">
        <f>X10+X11+'Financing'!X11-'Financing'!X12+'Financing'!X16</f>
      </c>
      <c r="Y25" s="4">
        <f>Y10+Y11+'Financing'!Y11-'Financing'!Y12+'Financing'!Y16</f>
      </c>
      <c r="Z25" s="4">
        <f>Z10+Z11+'Financing'!Z11-'Financing'!Z12+'Financing'!Z16</f>
      </c>
      <c r="AA25" s="4">
        <f>AA10+AA11+'Financing'!AA11-'Financing'!AA12+'Financing'!AA16</f>
      </c>
      <c r="AB25" s="4">
        <f>AB10+AB11+'Financing'!AB11-'Financing'!AB12+'Financing'!AB16</f>
      </c>
      <c r="AC25" s="4">
        <f>AC10+AC11+'Financing'!AC11-'Financing'!AC12+'Financing'!AC16</f>
      </c>
      <c r="AD25" s="4">
        <f>AD10+AD11+'Financing'!AD11-'Financing'!AD12+'Financing'!AD16</f>
      </c>
      <c r="AE25" s="4">
        <f>AE10+AE11+'Financing'!AE11-'Financing'!AE12+'Financing'!AE16</f>
      </c>
      <c r="AF25" s="4">
        <f>AF10+AF11+'Financing'!AF11-'Financing'!AF12+'Financing'!AF16</f>
      </c>
      <c r="AG25" s="4">
        <f>AG10+AG11+'Financing'!AG11-'Financing'!AG12+'Financing'!AG16</f>
      </c>
      <c r="AH25" s="4">
        <f>AH10+AH11+'Financing'!AH11-'Financing'!AH12+'Financing'!AH16</f>
      </c>
      <c r="AI25" s="4">
        <f>AI10+AI11+'Financing'!AI11-'Financing'!AI12+'Financing'!AI16</f>
      </c>
      <c r="AJ25" s="4">
        <f>AJ10+AJ11+'Financing'!AJ11-'Financing'!AJ12+'Financing'!AJ16</f>
      </c>
      <c r="AK25" s="4">
        <f>AK10+AK11+'Financing'!AK11-'Financing'!AK12+'Financing'!AK16</f>
      </c>
      <c r="AL25" s="4">
        <f>AL10+AL11+'Financing'!AL11-'Financing'!AL12+'Financing'!AL16</f>
      </c>
      <c r="AM25" s="4">
        <f>AM10+AM11+'Financing'!AM11-'Financing'!AM12+'Financing'!AM16</f>
      </c>
      <c r="AN25" s="4">
        <f>AN10+AN11+'Financing'!AN11-'Financing'!AN12+'Financing'!AN16</f>
      </c>
      <c r="AO25" s="4">
        <f>AO10+AO11+'Financing'!AO11-'Financing'!AO12+'Financing'!AO16</f>
      </c>
      <c r="AP25" s="4">
        <f>AP10+AP11+'Financing'!AP11-'Financing'!AP12+'Financing'!AP16</f>
      </c>
      <c r="AQ25" s="4">
        <f>AQ10+AQ11+'Financing'!AQ11-'Financing'!AQ12+'Financing'!AQ16</f>
      </c>
      <c r="AR25" s="4">
        <f>AR10+AR11+'Financing'!AR11-'Financing'!AR12+'Financing'!AR16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FormatPr defaultRowHeight="15" outlineLevelRow="0" outlineLevelCol="0" x14ac:dyDescent="55"/>
  <cols>
    <col min="1" max="1" width="40" customWidth="1"/>
    <col min="2" max="13" width="15" customWidth="1"/>
  </cols>
  <sheetData>
    <row r="1" spans="1:1" s="1" customFormat="1" x14ac:dyDescent="0.25">
      <c r="A1" s="1" t="s">
        <v>226</v>
      </c>
    </row>
    <row r="3" spans="1:11" x14ac:dyDescent="0.25">
      <c r="A3" s="6" t="s">
        <v>227</v>
      </c>
      <c r="B3" s="6" t="s">
        <v>96</v>
      </c>
      <c r="C3" s="6" t="s">
        <v>97</v>
      </c>
      <c r="D3" s="6" t="s">
        <v>98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</row>
    <row r="4" spans="1:11" x14ac:dyDescent="0.25">
      <c r="A4" t="s">
        <v>183</v>
      </c>
      <c r="B4" s="4">
        <f>SUM('P&amp;L'!B4:M4)</f>
      </c>
      <c r="C4" s="4">
        <f>SUM('P&amp;L'!N4:Y4)</f>
      </c>
      <c r="D4" s="4">
        <f>SUM('P&amp;L'!Z4:AK4)</f>
      </c>
      <c r="E4" s="4">
        <f>SUM('P&amp;L'!AL4:AL4)</f>
      </c>
      <c r="F4" s="4">
        <f>SUM('P&amp;L'!AM4:AM4)</f>
      </c>
      <c r="G4" s="4">
        <f>SUM('P&amp;L'!AN4:AN4)</f>
      </c>
      <c r="H4" s="4">
        <f>SUM('P&amp;L'!AO4:AO4)</f>
      </c>
      <c r="I4" s="4">
        <f>SUM('P&amp;L'!AP4:AP4)</f>
      </c>
      <c r="J4" s="4">
        <f>SUM('P&amp;L'!AQ4:AQ4)</f>
      </c>
      <c r="K4" s="4">
        <f>SUM('P&amp;L'!AR4:AR4)</f>
      </c>
    </row>
    <row r="5" spans="1:11" x14ac:dyDescent="0.25">
      <c r="A5" t="s">
        <v>228</v>
      </c>
      <c r="B5" s="4">
        <f>SUM('P&amp;L'!B11:M11)</f>
      </c>
      <c r="C5" s="4">
        <f>SUM('P&amp;L'!N11:Y11)</f>
      </c>
      <c r="D5" s="4">
        <f>SUM('P&amp;L'!Z11:AK11)</f>
      </c>
      <c r="E5" s="4">
        <f>SUM('P&amp;L'!AL11:AL11)</f>
      </c>
      <c r="F5" s="4">
        <f>SUM('P&amp;L'!AM11:AM11)</f>
      </c>
      <c r="G5" s="4">
        <f>SUM('P&amp;L'!AN11:AN11)</f>
      </c>
      <c r="H5" s="4">
        <f>SUM('P&amp;L'!AO11:AO11)</f>
      </c>
      <c r="I5" s="4">
        <f>SUM('P&amp;L'!AP11:AP11)</f>
      </c>
      <c r="J5" s="4">
        <f>SUM('P&amp;L'!AQ11:AQ11)</f>
      </c>
      <c r="K5" s="4">
        <f>SUM('P&amp;L'!AR11:AR11)</f>
      </c>
    </row>
    <row r="6" spans="1:11" x14ac:dyDescent="0.25">
      <c r="A6" t="s">
        <v>194</v>
      </c>
      <c r="B6" s="4">
        <f>SUM('P&amp;L'!B15:M15)</f>
      </c>
      <c r="C6" s="4">
        <f>SUM('P&amp;L'!N15:Y15)</f>
      </c>
      <c r="D6" s="4">
        <f>SUM('P&amp;L'!Z15:AK15)</f>
      </c>
      <c r="E6" s="4">
        <f>SUM('P&amp;L'!AL15:AL15)</f>
      </c>
      <c r="F6" s="4">
        <f>SUM('P&amp;L'!AM15:AM15)</f>
      </c>
      <c r="G6" s="4">
        <f>SUM('P&amp;L'!AN15:AN15)</f>
      </c>
      <c r="H6" s="4">
        <f>SUM('P&amp;L'!AO15:AO15)</f>
      </c>
      <c r="I6" s="4">
        <f>SUM('P&amp;L'!AP15:AP15)</f>
      </c>
      <c r="J6" s="4">
        <f>SUM('P&amp;L'!AQ15:AQ15)</f>
      </c>
      <c r="K6" s="4">
        <f>SUM('P&amp;L'!AR15:AR15)</f>
      </c>
    </row>
    <row r="7" spans="1:11" x14ac:dyDescent="0.25">
      <c r="A7" s="10" t="s">
        <v>195</v>
      </c>
      <c r="B7" s="11">
        <f>SUM('P&amp;L'!B16:M16)</f>
      </c>
      <c r="C7" s="11">
        <f>SUM('P&amp;L'!N16:Y16)</f>
      </c>
      <c r="D7" s="11">
        <f>SUM('P&amp;L'!Z16:AK16)</f>
      </c>
      <c r="E7" s="11">
        <f>SUM('P&amp;L'!AL16:AL16)</f>
      </c>
      <c r="F7" s="11">
        <f>SUM('P&amp;L'!AM16:AM16)</f>
      </c>
      <c r="G7" s="11">
        <f>SUM('P&amp;L'!AN16:AN16)</f>
      </c>
      <c r="H7" s="11">
        <f>SUM('P&amp;L'!AO16:AO16)</f>
      </c>
      <c r="I7" s="11">
        <f>SUM('P&amp;L'!AP16:AP16)</f>
      </c>
      <c r="J7" s="11">
        <f>SUM('P&amp;L'!AQ16:AQ16)</f>
      </c>
      <c r="K7" s="11">
        <f>SUM('P&amp;L'!AR16:AR16)</f>
      </c>
    </row>
    <row r="8" spans="1:11" x14ac:dyDescent="0.25">
      <c r="A8" t="s">
        <v>196</v>
      </c>
      <c r="B8" s="4">
        <f>SUM('P&amp;L'!B17:M17)</f>
      </c>
      <c r="C8" s="4">
        <f>SUM('P&amp;L'!N17:Y17)</f>
      </c>
      <c r="D8" s="4">
        <f>SUM('P&amp;L'!Z17:AK17)</f>
      </c>
      <c r="E8" s="4">
        <f>SUM('P&amp;L'!AL17:AL17)</f>
      </c>
      <c r="F8" s="4">
        <f>SUM('P&amp;L'!AM17:AM17)</f>
      </c>
      <c r="G8" s="4">
        <f>SUM('P&amp;L'!AN17:AN17)</f>
      </c>
      <c r="H8" s="4">
        <f>SUM('P&amp;L'!AO17:AO17)</f>
      </c>
      <c r="I8" s="4">
        <f>SUM('P&amp;L'!AP17:AP17)</f>
      </c>
      <c r="J8" s="4">
        <f>SUM('P&amp;L'!AQ17:AQ17)</f>
      </c>
      <c r="K8" s="4">
        <f>SUM('P&amp;L'!AR17:AR17)</f>
      </c>
    </row>
    <row r="9" spans="1:11" x14ac:dyDescent="0.25">
      <c r="A9" s="10" t="s">
        <v>197</v>
      </c>
      <c r="B9" s="11">
        <f>SUM('P&amp;L'!B18:M18)</f>
      </c>
      <c r="C9" s="11">
        <f>SUM('P&amp;L'!N18:Y18)</f>
      </c>
      <c r="D9" s="11">
        <f>SUM('P&amp;L'!Z18:AK18)</f>
      </c>
      <c r="E9" s="11">
        <f>SUM('P&amp;L'!AL18:AL18)</f>
      </c>
      <c r="F9" s="11">
        <f>SUM('P&amp;L'!AM18:AM18)</f>
      </c>
      <c r="G9" s="11">
        <f>SUM('P&amp;L'!AN18:AN18)</f>
      </c>
      <c r="H9" s="11">
        <f>SUM('P&amp;L'!AO18:AO18)</f>
      </c>
      <c r="I9" s="11">
        <f>SUM('P&amp;L'!AP18:AP18)</f>
      </c>
      <c r="J9" s="11">
        <f>SUM('P&amp;L'!AQ18:AQ18)</f>
      </c>
      <c r="K9" s="11">
        <f>SUM('P&amp;L'!AR18:AR18)</f>
      </c>
    </row>
    <row r="10" spans="1:11" x14ac:dyDescent="0.25">
      <c r="A10" t="s">
        <v>198</v>
      </c>
      <c r="B10" s="4">
        <f>SUM('P&amp;L'!B19:M19)</f>
      </c>
      <c r="C10" s="4">
        <f>SUM('P&amp;L'!N19:Y19)</f>
      </c>
      <c r="D10" s="4">
        <f>SUM('P&amp;L'!Z19:AK19)</f>
      </c>
      <c r="E10" s="4">
        <f>SUM('P&amp;L'!AL19:AL19)</f>
      </c>
      <c r="F10" s="4">
        <f>SUM('P&amp;L'!AM19:AM19)</f>
      </c>
      <c r="G10" s="4">
        <f>SUM('P&amp;L'!AN19:AN19)</f>
      </c>
      <c r="H10" s="4">
        <f>SUM('P&amp;L'!AO19:AO19)</f>
      </c>
      <c r="I10" s="4">
        <f>SUM('P&amp;L'!AP19:AP19)</f>
      </c>
      <c r="J10" s="4">
        <f>SUM('P&amp;L'!AQ19:AQ19)</f>
      </c>
      <c r="K10" s="4">
        <f>SUM('P&amp;L'!AR19:AR19)</f>
      </c>
    </row>
    <row r="11" spans="1:11" x14ac:dyDescent="0.25">
      <c r="A11" t="s">
        <v>199</v>
      </c>
      <c r="B11" s="4">
        <f>SUM('P&amp;L'!B20:M20)</f>
      </c>
      <c r="C11" s="4">
        <f>SUM('P&amp;L'!N20:Y20)</f>
      </c>
      <c r="D11" s="4">
        <f>SUM('P&amp;L'!Z20:AK20)</f>
      </c>
      <c r="E11" s="4">
        <f>SUM('P&amp;L'!AL20:AL20)</f>
      </c>
      <c r="F11" s="4">
        <f>SUM('P&amp;L'!AM20:AM20)</f>
      </c>
      <c r="G11" s="4">
        <f>SUM('P&amp;L'!AN20:AN20)</f>
      </c>
      <c r="H11" s="4">
        <f>SUM('P&amp;L'!AO20:AO20)</f>
      </c>
      <c r="I11" s="4">
        <f>SUM('P&amp;L'!AP20:AP20)</f>
      </c>
      <c r="J11" s="4">
        <f>SUM('P&amp;L'!AQ20:AQ20)</f>
      </c>
      <c r="K11" s="4">
        <f>SUM('P&amp;L'!AR20:AR20)</f>
      </c>
    </row>
    <row r="12" spans="1:11" x14ac:dyDescent="0.25">
      <c r="A12" s="10" t="s">
        <v>200</v>
      </c>
      <c r="B12" s="11">
        <f>SUM('P&amp;L'!B21:M21)</f>
      </c>
      <c r="C12" s="11">
        <f>SUM('P&amp;L'!N21:Y21)</f>
      </c>
      <c r="D12" s="11">
        <f>SUM('P&amp;L'!Z21:AK21)</f>
      </c>
      <c r="E12" s="11">
        <f>SUM('P&amp;L'!AL21:AL21)</f>
      </c>
      <c r="F12" s="11">
        <f>SUM('P&amp;L'!AM21:AM21)</f>
      </c>
      <c r="G12" s="11">
        <f>SUM('P&amp;L'!AN21:AN21)</f>
      </c>
      <c r="H12" s="11">
        <f>SUM('P&amp;L'!AO21:AO21)</f>
      </c>
      <c r="I12" s="11">
        <f>SUM('P&amp;L'!AP21:AP21)</f>
      </c>
      <c r="J12" s="11">
        <f>SUM('P&amp;L'!AQ21:AQ21)</f>
      </c>
      <c r="K12" s="11">
        <f>SUM('P&amp;L'!AR21:AR21)</f>
      </c>
    </row>
    <row r="13" spans="1:11" x14ac:dyDescent="0.25">
      <c r="A13" t="s">
        <v>202</v>
      </c>
      <c r="B13" s="4">
        <f>SUM('P&amp;L'!B23:M23)</f>
      </c>
      <c r="C13" s="4">
        <f>SUM('P&amp;L'!N23:Y23)</f>
      </c>
      <c r="D13" s="4">
        <f>SUM('P&amp;L'!Z23:AK23)</f>
      </c>
      <c r="E13" s="4">
        <f>SUM('P&amp;L'!AL23:AL23)</f>
      </c>
      <c r="F13" s="4">
        <f>SUM('P&amp;L'!AM23:AM23)</f>
      </c>
      <c r="G13" s="4">
        <f>SUM('P&amp;L'!AN23:AN23)</f>
      </c>
      <c r="H13" s="4">
        <f>SUM('P&amp;L'!AO23:AO23)</f>
      </c>
      <c r="I13" s="4">
        <f>SUM('P&amp;L'!AP23:AP23)</f>
      </c>
      <c r="J13" s="4">
        <f>SUM('P&amp;L'!AQ23:AQ23)</f>
      </c>
      <c r="K13" s="4">
        <f>SUM('P&amp;L'!AR23:AR23)</f>
      </c>
    </row>
    <row r="14" spans="1:11" x14ac:dyDescent="0.25">
      <c r="A14" s="10" t="s">
        <v>203</v>
      </c>
      <c r="B14" s="11">
        <f>SUM('P&amp;L'!B24:M24)</f>
      </c>
      <c r="C14" s="11">
        <f>SUM('P&amp;L'!N24:Y24)</f>
      </c>
      <c r="D14" s="11">
        <f>SUM('P&amp;L'!Z24:AK24)</f>
      </c>
      <c r="E14" s="11">
        <f>SUM('P&amp;L'!AL24:AL24)</f>
      </c>
      <c r="F14" s="11">
        <f>SUM('P&amp;L'!AM24:AM24)</f>
      </c>
      <c r="G14" s="11">
        <f>SUM('P&amp;L'!AN24:AN24)</f>
      </c>
      <c r="H14" s="11">
        <f>SUM('P&amp;L'!AO24:AO24)</f>
      </c>
      <c r="I14" s="11">
        <f>SUM('P&amp;L'!AP24:AP24)</f>
      </c>
      <c r="J14" s="11">
        <f>SUM('P&amp;L'!AQ24:AQ24)</f>
      </c>
      <c r="K14" s="11">
        <f>SUM('P&amp;L'!AR24:AR24)</f>
      </c>
    </row>
    <row r="16" spans="1:11" x14ac:dyDescent="0.25">
      <c r="A16" s="6" t="s">
        <v>229</v>
      </c>
      <c r="B16" s="6" t="s">
        <v>96</v>
      </c>
      <c r="C16" s="6" t="s">
        <v>97</v>
      </c>
      <c r="D16" s="6" t="s">
        <v>98</v>
      </c>
      <c r="E16" s="6" t="s">
        <v>54</v>
      </c>
      <c r="F16" s="6" t="s">
        <v>55</v>
      </c>
      <c r="G16" s="6" t="s">
        <v>56</v>
      </c>
      <c r="H16" s="6" t="s">
        <v>57</v>
      </c>
      <c r="I16" s="6" t="s">
        <v>58</v>
      </c>
      <c r="J16" s="6" t="s">
        <v>59</v>
      </c>
      <c r="K16" s="6" t="s">
        <v>60</v>
      </c>
    </row>
    <row r="17" spans="1:11" x14ac:dyDescent="0.25">
      <c r="A17" t="s">
        <v>230</v>
      </c>
      <c r="B17" s="4">
        <f>SUM('Cashflow'!B10:M10)</f>
      </c>
      <c r="C17" s="4">
        <f>SUM('Cashflow'!N10:Y10)</f>
      </c>
      <c r="D17" s="4">
        <f>SUM('Cashflow'!Z10:AK10)</f>
      </c>
      <c r="E17" s="4">
        <f>SUM('Cashflow'!AL10:AL10)</f>
      </c>
      <c r="F17" s="4">
        <f>SUM('Cashflow'!AM10:AM10)</f>
      </c>
      <c r="G17" s="4">
        <f>SUM('Cashflow'!AN10:AN10)</f>
      </c>
      <c r="H17" s="4">
        <f>SUM('Cashflow'!AO10:AO10)</f>
      </c>
      <c r="I17" s="4">
        <f>SUM('Cashflow'!AP10:AP10)</f>
      </c>
      <c r="J17" s="4">
        <f>SUM('Cashflow'!AQ10:AQ10)</f>
      </c>
      <c r="K17" s="4">
        <f>SUM('Cashflow'!AR10:AR10)</f>
      </c>
    </row>
    <row r="18" spans="1:11" x14ac:dyDescent="0.25">
      <c r="A18" t="s">
        <v>231</v>
      </c>
      <c r="B18" s="4">
        <f>SUM('Cashflow'!B11:M11)</f>
      </c>
      <c r="C18" s="4">
        <f>SUM('Cashflow'!N11:Y11)</f>
      </c>
      <c r="D18" s="4">
        <f>SUM('Cashflow'!Z11:AK11)</f>
      </c>
      <c r="E18" s="4">
        <f>SUM('Cashflow'!AL11:AL11)</f>
      </c>
      <c r="F18" s="4">
        <f>SUM('Cashflow'!AM11:AM11)</f>
      </c>
      <c r="G18" s="4">
        <f>SUM('Cashflow'!AN11:AN11)</f>
      </c>
      <c r="H18" s="4">
        <f>SUM('Cashflow'!AO11:AO11)</f>
      </c>
      <c r="I18" s="4">
        <f>SUM('Cashflow'!AP11:AP11)</f>
      </c>
      <c r="J18" s="4">
        <f>SUM('Cashflow'!AQ11:AQ11)</f>
      </c>
      <c r="K18" s="4">
        <f>SUM('Cashflow'!AR11:AR11)</f>
      </c>
    </row>
    <row r="19" spans="1:11" x14ac:dyDescent="0.25">
      <c r="A19" t="s">
        <v>232</v>
      </c>
      <c r="B19" s="4">
        <f>SUM('Cashflow'!B16:M16)</f>
      </c>
      <c r="C19" s="4">
        <f>SUM('Cashflow'!N16:Y16)</f>
      </c>
      <c r="D19" s="4">
        <f>SUM('Cashflow'!Z16:AK16)</f>
      </c>
      <c r="E19" s="4">
        <f>SUM('Cashflow'!AL16:AL16)</f>
      </c>
      <c r="F19" s="4">
        <f>SUM('Cashflow'!AM16:AM16)</f>
      </c>
      <c r="G19" s="4">
        <f>SUM('Cashflow'!AN16:AN16)</f>
      </c>
      <c r="H19" s="4">
        <f>SUM('Cashflow'!AO16:AO16)</f>
      </c>
      <c r="I19" s="4">
        <f>SUM('Cashflow'!AP16:AP16)</f>
      </c>
      <c r="J19" s="4">
        <f>SUM('Cashflow'!AQ16:AQ16)</f>
      </c>
      <c r="K19" s="4">
        <f>SUM('Cashflow'!AR16:AR16)</f>
      </c>
    </row>
    <row r="20" spans="1:11" x14ac:dyDescent="0.25">
      <c r="A20" s="10" t="s">
        <v>219</v>
      </c>
      <c r="B20" s="11">
        <f>SUM('Cashflow'!B17:M17)</f>
      </c>
      <c r="C20" s="11">
        <f>SUM('Cashflow'!N17:Y17)</f>
      </c>
      <c r="D20" s="11">
        <f>SUM('Cashflow'!Z17:AK17)</f>
      </c>
      <c r="E20" s="11">
        <f>SUM('Cashflow'!AL17:AL17)</f>
      </c>
      <c r="F20" s="11">
        <f>SUM('Cashflow'!AM17:AM17)</f>
      </c>
      <c r="G20" s="11">
        <f>SUM('Cashflow'!AN17:AN17)</f>
      </c>
      <c r="H20" s="11">
        <f>SUM('Cashflow'!AO17:AO17)</f>
      </c>
      <c r="I20" s="11">
        <f>SUM('Cashflow'!AP17:AP17)</f>
      </c>
      <c r="J20" s="11">
        <f>SUM('Cashflow'!AQ17:AQ17)</f>
      </c>
      <c r="K20" s="11">
        <f>SUM('Cashflow'!AR17:AR17)</f>
      </c>
    </row>
    <row r="21" spans="1:11" x14ac:dyDescent="0.25">
      <c r="A21" s="10" t="s">
        <v>220</v>
      </c>
      <c r="B21" s="11">
        <f>'Cashflow'!M19</f>
      </c>
      <c r="C21" s="11">
        <f>'Cashflow'!Y19</f>
      </c>
      <c r="D21" s="11">
        <f>'Cashflow'!AK19</f>
      </c>
      <c r="E21" s="11">
        <f>'Cashflow'!AL19</f>
      </c>
      <c r="F21" s="11">
        <f>'Cashflow'!AM19</f>
      </c>
      <c r="G21" s="11">
        <f>'Cashflow'!AN19</f>
      </c>
      <c r="H21" s="11">
        <f>'Cashflow'!AO19</f>
      </c>
      <c r="I21" s="11">
        <f>'Cashflow'!AP19</f>
      </c>
      <c r="J21" s="11">
        <f>'Cashflow'!AQ19</f>
      </c>
      <c r="K21" s="11">
        <f>'Cashflow'!AR19</f>
      </c>
    </row>
    <row r="23" spans="1:2" x14ac:dyDescent="0.25">
      <c r="A23" s="6" t="s">
        <v>233</v>
      </c>
      <c r="B23" s="6" t="s">
        <v>234</v>
      </c>
    </row>
    <row r="24" spans="1:2" x14ac:dyDescent="0.25">
      <c r="A24" t="s">
        <v>11</v>
      </c>
      <c r="B24" s="3">
        <v>8</v>
      </c>
    </row>
    <row r="25" spans="1:2" x14ac:dyDescent="0.25">
      <c r="A25" t="s">
        <v>13</v>
      </c>
      <c r="B25" s="2">
        <v>0.02</v>
      </c>
    </row>
    <row r="26" spans="1:2" x14ac:dyDescent="0.25">
      <c r="A26" t="s">
        <v>14</v>
      </c>
      <c r="B26" s="2">
        <v>0.025</v>
      </c>
    </row>
    <row r="27" spans="1:2" x14ac:dyDescent="0.25">
      <c r="A27" t="s">
        <v>235</v>
      </c>
      <c r="B27" s="4">
        <v>11849162.891429454</v>
      </c>
    </row>
    <row r="28" spans="1:2" x14ac:dyDescent="0.25">
      <c r="A28" t="s">
        <v>236</v>
      </c>
      <c r="B28" s="4">
        <v>-1993529.3361148094</v>
      </c>
    </row>
    <row r="29" spans="1:2" x14ac:dyDescent="0.25">
      <c r="A29" t="s">
        <v>237</v>
      </c>
      <c r="B29" s="4">
        <v>13842692.227544263</v>
      </c>
    </row>
    <row r="30" spans="1:2" x14ac:dyDescent="0.25">
      <c r="A30" t="s">
        <v>238</v>
      </c>
      <c r="B30" s="2">
        <v>-0.004244686139440531</v>
      </c>
    </row>
    <row r="31" spans="1:2" x14ac:dyDescent="0.25">
      <c r="A31" t="s">
        <v>239</v>
      </c>
      <c r="B31" s="4">
        <v>-11264688.633852614</v>
      </c>
    </row>
    <row r="32" spans="1:2" x14ac:dyDescent="0.25">
      <c r="A32" t="s">
        <v>240</v>
      </c>
      <c r="B32" s="2">
        <v>-0.00707504711368841</v>
      </c>
    </row>
    <row r="33" spans="1:2" x14ac:dyDescent="0.25">
      <c r="A33" t="s">
        <v>241</v>
      </c>
      <c r="B33" s="4">
        <v>-9842363.847953085</v>
      </c>
    </row>
    <row r="34" spans="1:1" s="5" customFormat="1" x14ac:dyDescent="0.25">
      <c r="A34" s="5" t="s">
        <v>242</v>
      </c>
    </row>
    <row r="36" spans="1:1" s="17" customFormat="1" x14ac:dyDescent="0.25">
      <c r="A36" s="17" t="s">
        <v>243</v>
      </c>
    </row>
    <row r="37" spans="1:1" s="18" customFormat="1" x14ac:dyDescent="0.25">
      <c r="A37" s="18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Parameters</vt:lpstr>
      <vt:lpstr>CAPEX</vt:lpstr>
      <vt:lpstr>UnitEcon</vt:lpstr>
      <vt:lpstr>OPEX</vt:lpstr>
      <vt:lpstr>Financing</vt:lpstr>
      <vt:lpstr>P&amp;L</vt:lpstr>
      <vt:lpstr>Cashflow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XFuel C2 portal</dc:creator>
  <dc:title/>
  <dc:subject/>
  <dc:description/>
  <cp:keywords/>
  <cp:category/>
  <cp:lastModifiedBy>Unknown</cp:lastModifiedBy>
  <dcterms:created xsi:type="dcterms:W3CDTF">2026-07-27T11:42:16Z</dcterms:created>
  <dcterms:modified xsi:type="dcterms:W3CDTF">2026-07-27T11:42:16Z</dcterms:modified>
</cp:coreProperties>
</file>